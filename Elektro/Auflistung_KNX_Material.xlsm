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FFB5DC36-71E1-4719-9BCF-BC5DC8252B70}" xr6:coauthVersionLast="45" xr6:coauthVersionMax="45" xr10:uidLastSave="{00000000-0000-0000-0000-000000000000}"/>
  <bookViews>
    <workbookView xWindow="-108" yWindow="-108" windowWidth="23256" windowHeight="12576" activeTab="4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3" l="1"/>
  <c r="C47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<sst xmlns="http://schemas.openxmlformats.org/spreadsheetml/2006/main" count="278" uniqueCount="185">
  <si>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</si>
  <si>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</si>
  <si>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</si>
  <si>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</si>
  <si>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</si>
  <si>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</si>
  <si>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</si>
  <si>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</si>
  <si>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</si>
  <si>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</si>
  <si>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</si>
  <si>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</si>
  <si>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</si>
  <si>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</si>
  <si>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</si>
  <si>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</si>
  <si>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</si>
  <si>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</si>
  <si>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</si>
  <si>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</si>
  <si>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</si>
  <si>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</si>
  <si>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</si>
  <si>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</si>
  <si>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</si>
  <si>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</si>
  <si>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</si>
  <si>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</si>
  <si>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</si>
  <si>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</si>
  <si>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</si>
  <si>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</si>
  <si>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</si>
  <si>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</si>
  <si>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</si>
  <si>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</si>
  <si>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</si>
  <si>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</si>
  <si>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</si>
  <si>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</si>
  <si>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</si>
  <si>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</si>
  <si>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</si>
  <si>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</si>
  <si>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</si>
  <si>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</si>
  <si>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</si>
  <si>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</si>
  <si>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</si>
  <si>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</si>
  <si>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</si>
  <si>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</si>
  <si>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</si>
  <si>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</si>
  <si>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</si>
  <si>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</si>
  <si>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</si>
  <si>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</si>
  <si>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</si>
  <si>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</si>
  <si>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</si>
  <si>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</si>
  <si>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</si>
  <si>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</si>
  <si>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</si>
  <si>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</si>
  <si>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</si>
  <si>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</si>
  <si>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</si>
  <si>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</si>
  <si>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</si>
  <si>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</si>
  <si>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</si>
  <si>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</si>
  <si>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</si>
  <si>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</si>
  <si>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</si>
  <si>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</si>
  <si>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</si>
  <si>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</si>
  <si>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</si>
  <si>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</si>
  <si>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</si>
  <si>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</si>
  <si>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</si>
  <si>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</si>
  <si>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</si>
  <si>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</si>
  <si>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</si>
  <si>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</si>
  <si>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</si>
  <si>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</si>
  <si>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</si>
  <si>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</si>
  <si>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</si>
  <si>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</si>
  <si>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</si>
  <si>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</si>
  <si>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</si>
  <si>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</si>
  <si>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</si>
  <si>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</si>
  <si>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</si>
  <si>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</si>
  <si>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</si>
  <si>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</si>
  <si>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</si>
  <si>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</si>
  <si>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</si>
  <si>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</si>
  <si>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</si>
  <si>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</si>
  <si>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</si>
  <si>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</si>
  <si>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</si>
  <si>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</si>
  <si>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</si>
  <si>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</si>
  <si>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</si>
  <si>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</si>
  <si>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</si>
  <si>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</si>
  <si>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</si>
  <si>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</si>
  <si>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</si>
  <si>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</si>
  <si>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</si>
  <si>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</si>
  <si>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</si>
  <si>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</si>
  <si>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</si>
  <si>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</si>
  <si>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</si>
  <si>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</si>
  <si>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</si>
  <si>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</si>
  <si>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</si>
  <si>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</si>
  <si>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</si>
  <si>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</si>
  <si>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Netzwerkschrank/KNX-Netzteil</t>
  </si>
  <si>
    <t>FI-Schutzschalter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</si>
  <si>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</si>
  <si>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</si>
  <si>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</si>
  <si>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</si>
  <si>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</si>
  <si>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</si>
  <si>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</si>
  <si>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</si>
  <si>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</si>
  <si>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</si>
  <si>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</si>
  <si>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</si>
  <si>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</si>
  <si>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</si>
  <si>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</si>
  <si>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</si>
  <si>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</si>
  <si>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</si>
  <si>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</si>
  <si>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</si>
  <si>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</si>
  <si>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</si>
  <si>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</si>
  <si>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</si>
  <si>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</si>
  <si>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</si>
  <si>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</si>
  <si>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</si>
  <si>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</si>
  <si>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</si>
  <si>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</si>
  <si>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</si>
  <si>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3x1,5</t>
  </si>
  <si>
    <t>7x1,5</t>
  </si>
  <si>
    <t>5x1,5</t>
  </si>
  <si>
    <t>Steckdosen Bett/Tür</t>
  </si>
  <si>
    <t>Steckdosen Fenster/TV</t>
  </si>
  <si>
    <t>Steckdosen hinter Tür</t>
  </si>
  <si>
    <t>Steckdosen TV/Süd-Ost</t>
  </si>
  <si>
    <t>Steckdose Ost</t>
  </si>
  <si>
    <t>Steckdose Nord (bei Küche)</t>
  </si>
  <si>
    <t>Steckdosen Küche</t>
  </si>
  <si>
    <t>5x2,5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</si>
</sst>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8" formatCode="&quot;FI&quot;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63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Fill="1" applyAlignment="1"/>
    <xf numFmtId="0" fontId="7" fillId="3" borderId="13" xfId="0" applyFont="1" applyFill="1" applyBorder="1" applyAlignment="1">
      <alignment horizontal="center"/>
    </xf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6" xfId="0" applyFill="1" applyBorder="1"/>
    <xf numFmtId="0" fontId="0" fillId="5" borderId="15" xfId="0" applyFill="1" applyBorder="1"/>
    <xf numFmtId="0" fontId="0" fillId="0" borderId="0" xfId="0" applyAlignment="1">
      <alignment horizontal="center" vertical="center"/>
    </xf>
    <xf numFmtId="0" fontId="7" fillId="3" borderId="8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0" fillId="3" borderId="12" xfId="0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0" fillId="0" borderId="14" xfId="0" applyBorder="1"/>
    <xf numFmtId="0" fontId="0" fillId="0" borderId="15" xfId="0" applyBorder="1"/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/>
    <xf numFmtId="0" fontId="0" fillId="0" borderId="3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4" xfId="0" applyFill="1" applyBorder="1" applyAlignment="1"/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1" xfId="0" applyFill="1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166" fontId="0" fillId="0" borderId="0" xfId="0" applyNumberFormat="1"/>
    <xf numFmtId="166" fontId="0" fillId="0" borderId="14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166" fontId="0" fillId="0" borderId="14" xfId="0" applyNumberFormat="1" applyFill="1" applyBorder="1" applyAlignment="1">
      <alignment horizontal="center" vertical="center"/>
    </xf>
    <xf numFmtId="166" fontId="0" fillId="0" borderId="16" xfId="0" applyNumberForma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3" borderId="14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166" fontId="0" fillId="3" borderId="14" xfId="0" applyNumberFormat="1" applyFill="1" applyBorder="1" applyAlignment="1">
      <alignment horizontal="center" vertical="center"/>
    </xf>
    <xf numFmtId="166" fontId="0" fillId="3" borderId="15" xfId="0" applyNumberFormat="1" applyFill="1" applyBorder="1" applyAlignment="1">
      <alignment horizontal="center" vertical="center"/>
    </xf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12" xfId="0" applyFill="1" applyBorder="1"/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0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11" xfId="0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6" fontId="0" fillId="0" borderId="1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8" fontId="0" fillId="0" borderId="0" xfId="0" applyNumberFormat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166" fontId="0" fillId="3" borderId="15" xfId="0" applyNumberFormat="1" applyFill="1" applyBorder="1" applyAlignment="1">
      <alignment horizontal="center" vertical="center"/>
    </xf>
    <xf numFmtId="0" fontId="0" fillId="3" borderId="9" xfId="0" applyFill="1" applyBorder="1"/>
    <xf numFmtId="0" fontId="0" fillId="3" borderId="15" xfId="0" applyFill="1" applyBorder="1" applyAlignment="1">
      <alignment horizontal="center" vertical="center"/>
    </xf>
  </cellXfs>
  <cellStyles count="3">
    <cellStyle name="Link" xfId="2" builtinId="8"/>
    <cellStyle name="Standard" xfId="0" builtinId="0"/>
    <cellStyle name="Währung" xfId="1" builtinId="4"/>
  </cellStyles>
  <dxfs count="37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numFmt numFmtId="168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34" formatCode="_-* #,##0.00\ &quot;€&quot;_-;\-* #,##0.00\ &quot;€&quot;_-;_-* &quot;-&quot;??\ &quot;€&quot;_-;_-@_-"/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6">
  <autoFilter ref="A4:T20" xr:uid="{96AC54A7-3AF8-4232-A7CA-7456C1206A29}">
    <filterColumn colId="8">
      <filters>
        <filter val="Tür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5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34">
      <calculatedColumnFormula>Tabelle1[[#This Row],[TE]]*SUM(Tabelle1[[#This Row],[Küche]:[Klo]])</calculatedColumnFormula>
    </tableColumn>
    <tableColumn id="7" xr3:uid="{0CA81A17-BA15-4983-A8A2-0242A8B6B19B}" name="Herstellernummer" dataDxfId="33"/>
    <tableColumn id="4" xr3:uid="{4718EDFC-681A-42DA-B15F-DB810E8C969C}" name="Preis" dataCellStyle="Währung"/>
    <tableColumn id="3" xr3:uid="{4FF9F7BA-61AC-46A6-97D4-0F99D7290E70}" name="Preis/Kanal" dataDxfId="32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31"/>
    <tableColumn id="9" xr3:uid="{71B99BB4-E121-4AC6-B2CC-B8283468FBBB}" name="Esszimmer" dataDxfId="30"/>
    <tableColumn id="10" xr3:uid="{E4662B22-8FAD-414C-AAE6-B24E2CAB28D4}" name="Wohnzimmer" dataDxfId="29"/>
    <tableColumn id="11" xr3:uid="{204170EB-6A51-4091-9F43-2BB5DD265154}" name="Speis" dataDxfId="28"/>
    <tableColumn id="12" xr3:uid="{18FF780B-8CBB-488D-B52A-5E6374864CB2}" name="Bad" dataDxfId="27"/>
    <tableColumn id="13" xr3:uid="{57EE2B1E-BB13-46B9-B6BC-CF4F5FCCDB66}" name="Gang" dataDxfId="26"/>
    <tableColumn id="14" xr3:uid="{E92F9A3C-E1C5-4882-916E-DA389241E99B}" name="Schalafzimmer" dataDxfId="25"/>
    <tableColumn id="15" xr3:uid="{3799BA4D-FAD2-475F-B312-0E659992795D}" name="Klo" dataDxfId="24"/>
    <tableColumn id="17" xr3:uid="{17A122D9-4F1D-40D7-A3F8-16439D99B479}" name="KNX-fähig"/>
    <tableColumn id="6" xr3:uid="{12170A0C-6A62-4A83-B4B9-2C3B5CC64F58}" name="Menge KNX-Geräte" dataDxfId="23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22" totalsRowDxfId="11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21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20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5" totalsRowCount="1">
  <autoFilter ref="A1:F4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19"/>
    <tableColumn id="6" xr3:uid="{5EE9FC28-C66B-4A96-9BA9-8280EC2E6589}" name="Kategorie" dataDxfId="18"/>
    <tableColumn id="3" xr3:uid="{BD741B7D-FC24-407C-91C4-67731AA078DF}" name="Beschreibung" dataDxfId="17"/>
    <tableColumn id="4" xr3:uid="{A87B7F3E-D2EF-4CAF-A80F-6E407E6EC1B1}" name="Konto" dataDxfId="16"/>
    <tableColumn id="5" xr3:uid="{82BE7E6D-F523-4932-9103-8E1EB61BB46A}" name="Betrag" totalsRowFunction="sum" dataDxfId="15" totalsRowDxfId="1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3:B19" totalsRowShown="0" tableBorderDxfId="9">
  <autoFilter ref="A3:B19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8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D2:E4" totalsRowShown="0">
  <autoFilter ref="D2:E4" xr:uid="{0603E42E-2BDC-41BB-BA9B-443E8715DAB2}">
    <filterColumn colId="0" hiddenButton="1"/>
    <filterColumn colId="1" hiddenButton="1"/>
  </autoFilter>
  <tableColumns count="2">
    <tableColumn id="1" xr3:uid="{C75C45D7-6E82-47C1-9D22-8DC8526DC380}" name="FI-Schutzschalter" dataDxfId="6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D6:E9" totalsRowShown="0">
  <autoFilter ref="D6:E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7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29:C47" totalsRowCount="1" tableBorderDxfId="14">
  <autoFilter ref="A29:C46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13" totalsRowDxfId="1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zoomScaleNormal="100" workbookViewId="0">
      <selection activeCell="H26" sqref="H26"/>
    </sheetView>
  </sheetViews>
  <sheetFormatPr baseColWidth="10" defaultRowHeight="14.4" outlineLevelCol="2" x14ac:dyDescent="0.3"/>
  <cols>
    <col min="1" max="1" width="33.88671875" bestFit="1" customWidth="1"/>
    <col min="2" max="3" width="6" hidden="1" customWidth="1" outlineLevel="2"/>
    <col min="4" max="5" width="5.33203125" hidden="1" customWidth="1" outlineLevel="2"/>
    <col min="6" max="6" width="71.88671875" customWidth="1" outlineLevel="1" collapsed="1"/>
    <col min="7" max="7" width="9.44140625" customWidth="1" outlineLevel="1"/>
    <col min="8" max="8" width="9.44140625" bestFit="1" customWidth="1" outlineLevel="1"/>
    <col min="9" max="9" width="8.109375" bestFit="1" customWidth="1"/>
    <col min="10" max="17" width="6" hidden="1" customWidth="1" outlineLevel="1"/>
    <col min="18" max="18" width="6" bestFit="1" customWidth="1" collapsed="1"/>
    <col min="19" max="19" width="9.5546875" bestFit="1" customWidth="1"/>
    <col min="20" max="20" width="11" bestFit="1" customWidth="1"/>
    <col min="21" max="21" width="26.6640625" bestFit="1" customWidth="1"/>
    <col min="22" max="22" width="11" bestFit="1" customWidth="1"/>
  </cols>
  <sheetData>
    <row r="1" spans="1:20" x14ac:dyDescent="0.3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</row>
    <row r="2" spans="1:20" x14ac:dyDescent="0.3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</row>
    <row r="4" spans="1:20" s="3" customFormat="1" ht="81" x14ac:dyDescent="0.3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124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hidden="1" x14ac:dyDescent="0.3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hidden="1" x14ac:dyDescent="0.3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hidden="1" x14ac:dyDescent="0.3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hidden="1" x14ac:dyDescent="0.3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hidden="1" x14ac:dyDescent="0.3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3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3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3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hidden="1" x14ac:dyDescent="0.3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hidden="1" x14ac:dyDescent="0.3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hidden="1" x14ac:dyDescent="0.3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hidden="1" x14ac:dyDescent="0.3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hidden="1" x14ac:dyDescent="0.3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hidden="1" x14ac:dyDescent="0.3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125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hidden="1" x14ac:dyDescent="0.3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hidden="1" x14ac:dyDescent="0.3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" thickBot="1" x14ac:dyDescent="0.35">
      <c r="T21" s="20">
        <f>SUBTOTAL(109,Tabelle1[Endpreis])</f>
        <v>1684.3600000000001</v>
      </c>
    </row>
    <row r="22" spans="1:22" x14ac:dyDescent="0.3">
      <c r="U22" s="12" t="s">
        <v>53</v>
      </c>
      <c r="V22" s="19">
        <f>SUBTOTAL(109,Tabelle1[Menge KNX-Geräte])</f>
        <v>1</v>
      </c>
    </row>
    <row r="23" spans="1:22" ht="15" thickBot="1" x14ac:dyDescent="0.35">
      <c r="U23" s="14" t="s">
        <v>54</v>
      </c>
      <c r="V23" s="15">
        <f>SUBTOTAL(109,Tabelle1[Platzbedarf])</f>
        <v>5</v>
      </c>
    </row>
    <row r="24" spans="1:22" x14ac:dyDescent="0.3">
      <c r="U24" s="12" t="s">
        <v>50</v>
      </c>
      <c r="V24" s="13">
        <f>Schaltstellen!K3+Schaltstellen!K5+Schaltstellen!K6*2</f>
        <v>28</v>
      </c>
    </row>
    <row r="25" spans="1:22" ht="15" thickBot="1" x14ac:dyDescent="0.35">
      <c r="U25" s="14" t="s">
        <v>51</v>
      </c>
      <c r="V25" s="15">
        <f>Schaltstellen!K4</f>
        <v>4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D9" sqref="D9"/>
    </sheetView>
  </sheetViews>
  <sheetFormatPr baseColWidth="10" defaultRowHeight="14.4" x14ac:dyDescent="0.3"/>
  <cols>
    <col min="1" max="1" width="17.5546875" bestFit="1" customWidth="1"/>
    <col min="2" max="9" width="6" bestFit="1" customWidth="1"/>
    <col min="10" max="10" width="6" customWidth="1"/>
    <col min="11" max="11" width="6" bestFit="1" customWidth="1"/>
    <col min="14" max="14" width="22.6640625" bestFit="1" customWidth="1"/>
  </cols>
  <sheetData>
    <row r="2" spans="1:11" ht="72" x14ac:dyDescent="0.3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3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3">
      <c r="A4" t="s">
        <v>34</v>
      </c>
      <c r="B4">
        <v>1</v>
      </c>
      <c r="D4">
        <v>1</v>
      </c>
      <c r="F4">
        <v>1</v>
      </c>
      <c r="H4">
        <v>1</v>
      </c>
      <c r="K4">
        <f>SUM(Tabelle2[[#This Row],[Küche]:[Hof]])</f>
        <v>4</v>
      </c>
    </row>
    <row r="5" spans="1:11" x14ac:dyDescent="0.3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3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F5"/>
  <sheetViews>
    <sheetView workbookViewId="0">
      <selection activeCell="D9" sqref="D9"/>
    </sheetView>
  </sheetViews>
  <sheetFormatPr baseColWidth="10" defaultRowHeight="14.4" x14ac:dyDescent="0.3"/>
  <cols>
    <col min="1" max="1" width="10.109375" bestFit="1" customWidth="1"/>
    <col min="2" max="2" width="13" bestFit="1" customWidth="1"/>
    <col min="3" max="3" width="13" customWidth="1"/>
    <col min="4" max="4" width="31.6640625" bestFit="1" customWidth="1"/>
    <col min="5" max="5" width="13.6640625" bestFit="1" customWidth="1"/>
    <col min="6" max="6" width="9.44140625" bestFit="1" customWidth="1"/>
  </cols>
  <sheetData>
    <row r="1" spans="1:6" x14ac:dyDescent="0.3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6" x14ac:dyDescent="0.3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6" x14ac:dyDescent="0.3">
      <c r="A3" s="21">
        <v>44181</v>
      </c>
      <c r="B3" s="23" t="s">
        <v>112</v>
      </c>
      <c r="C3" s="23" t="s">
        <v>74</v>
      </c>
      <c r="D3" s="23" t="s">
        <v>113</v>
      </c>
      <c r="E3" s="23" t="s">
        <v>73</v>
      </c>
      <c r="F3" s="22">
        <v>52.46</v>
      </c>
    </row>
    <row r="4" spans="1:6" x14ac:dyDescent="0.3">
      <c r="A4" s="21">
        <v>44183</v>
      </c>
      <c r="B4" s="23" t="s">
        <v>169</v>
      </c>
      <c r="C4" s="23" t="s">
        <v>170</v>
      </c>
      <c r="D4" s="23" t="s">
        <v>171</v>
      </c>
      <c r="E4" s="23" t="s">
        <v>73</v>
      </c>
      <c r="F4" s="22">
        <v>255.49</v>
      </c>
    </row>
    <row r="5" spans="1:6" x14ac:dyDescent="0.3">
      <c r="A5" t="s">
        <v>168</v>
      </c>
      <c r="F5" s="22">
        <f>SUBTOTAL(109,Tabelle3[Betrag])</f>
        <v>604.77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F47"/>
  <sheetViews>
    <sheetView zoomScale="85" zoomScaleNormal="85" workbookViewId="0">
      <selection activeCell="B8" sqref="B8"/>
    </sheetView>
  </sheetViews>
  <sheetFormatPr baseColWidth="10" defaultRowHeight="14.4" x14ac:dyDescent="0.3"/>
  <cols>
    <col min="1" max="1" width="9.77734375" bestFit="1" customWidth="1"/>
    <col min="2" max="2" width="29.109375" bestFit="1" customWidth="1"/>
    <col min="3" max="3" width="5.5546875" bestFit="1" customWidth="1"/>
    <col min="4" max="4" width="18.109375" customWidth="1"/>
    <col min="5" max="5" width="29.109375" bestFit="1" customWidth="1"/>
    <col min="6" max="6" width="8.109375" customWidth="1"/>
    <col min="7" max="7" width="3" style="11" customWidth="1"/>
    <col min="8" max="32" width="2.109375" customWidth="1"/>
  </cols>
  <sheetData>
    <row r="1" spans="1:32" ht="6.6" customHeight="1" thickBot="1" x14ac:dyDescent="0.35">
      <c r="H1" s="78">
        <v>1</v>
      </c>
      <c r="M1" s="78">
        <v>6</v>
      </c>
      <c r="S1" s="78">
        <v>12</v>
      </c>
      <c r="U1" s="78">
        <v>13</v>
      </c>
      <c r="AA1" s="78">
        <v>19</v>
      </c>
      <c r="AF1" s="78">
        <v>24</v>
      </c>
    </row>
    <row r="2" spans="1:32" ht="15" thickBot="1" x14ac:dyDescent="0.35">
      <c r="A2" s="148" t="s">
        <v>158</v>
      </c>
      <c r="B2" s="150"/>
      <c r="C2" s="37"/>
      <c r="D2" t="s">
        <v>141</v>
      </c>
      <c r="E2" t="s">
        <v>114</v>
      </c>
      <c r="H2" s="79"/>
      <c r="M2" s="79"/>
      <c r="S2" s="79"/>
      <c r="U2" s="79"/>
      <c r="AA2" s="79"/>
      <c r="AF2" s="79"/>
    </row>
    <row r="3" spans="1:32" ht="15" thickBot="1" x14ac:dyDescent="0.35">
      <c r="A3" s="26" t="s">
        <v>80</v>
      </c>
      <c r="B3" s="26" t="s">
        <v>126</v>
      </c>
      <c r="D3" s="154">
        <v>1</v>
      </c>
      <c r="E3" t="s">
        <v>142</v>
      </c>
      <c r="H3" s="12"/>
      <c r="I3" s="29"/>
      <c r="J3" s="29"/>
      <c r="K3" s="29"/>
      <c r="L3" s="29"/>
      <c r="M3" s="29"/>
      <c r="N3" s="29"/>
      <c r="O3" s="29"/>
      <c r="P3" s="29"/>
      <c r="Q3" s="29"/>
      <c r="R3" s="29"/>
      <c r="S3" s="13"/>
      <c r="U3" s="12"/>
      <c r="V3" s="29"/>
      <c r="W3" s="29"/>
      <c r="X3" s="29"/>
      <c r="Y3" s="29"/>
      <c r="Z3" s="29"/>
      <c r="AA3" s="29"/>
      <c r="AB3" s="29"/>
      <c r="AC3" s="29"/>
      <c r="AD3" s="29"/>
      <c r="AE3" s="29"/>
      <c r="AF3" s="13"/>
    </row>
    <row r="4" spans="1:32" ht="15" thickBot="1" x14ac:dyDescent="0.35">
      <c r="A4" s="151">
        <v>1</v>
      </c>
      <c r="B4" s="29" t="s">
        <v>147</v>
      </c>
      <c r="C4" s="26"/>
      <c r="D4" s="154">
        <v>2</v>
      </c>
      <c r="E4" t="s">
        <v>143</v>
      </c>
      <c r="H4" s="24"/>
      <c r="I4" s="26"/>
      <c r="J4" s="26"/>
      <c r="K4" s="26"/>
      <c r="L4" s="26"/>
      <c r="M4" s="26"/>
      <c r="N4" s="26"/>
      <c r="O4" s="26"/>
      <c r="P4" s="26"/>
      <c r="Q4" s="26"/>
      <c r="R4" s="26"/>
      <c r="S4" s="25"/>
      <c r="U4" s="24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5"/>
    </row>
    <row r="5" spans="1:32" ht="15" thickBot="1" x14ac:dyDescent="0.35">
      <c r="A5" s="152">
        <v>2</v>
      </c>
      <c r="B5" s="26" t="s">
        <v>132</v>
      </c>
      <c r="C5" s="26"/>
      <c r="G5" s="11">
        <v>1</v>
      </c>
      <c r="H5" s="70" t="s">
        <v>154</v>
      </c>
      <c r="I5" s="74"/>
      <c r="J5" s="74"/>
      <c r="K5" s="74"/>
      <c r="L5" s="74"/>
      <c r="M5" s="74"/>
      <c r="N5" s="74"/>
      <c r="O5" s="74"/>
      <c r="P5" s="74"/>
      <c r="Q5" s="74"/>
      <c r="R5" s="74"/>
      <c r="S5" s="71"/>
      <c r="U5" s="70" t="s">
        <v>156</v>
      </c>
      <c r="V5" s="74"/>
      <c r="W5" s="74"/>
      <c r="X5" s="74"/>
      <c r="Y5" s="74"/>
      <c r="Z5" s="71"/>
      <c r="AA5" s="70" t="s">
        <v>157</v>
      </c>
      <c r="AB5" s="74"/>
      <c r="AC5" s="74"/>
      <c r="AD5" s="74"/>
      <c r="AE5" s="74"/>
      <c r="AF5" s="71"/>
    </row>
    <row r="6" spans="1:32" x14ac:dyDescent="0.3">
      <c r="A6" s="152">
        <v>3</v>
      </c>
      <c r="B6" s="26" t="s">
        <v>137</v>
      </c>
      <c r="C6" s="26"/>
      <c r="D6" t="s">
        <v>144</v>
      </c>
      <c r="E6" t="s">
        <v>145</v>
      </c>
      <c r="H6" s="24"/>
      <c r="I6" s="26"/>
      <c r="J6" s="26"/>
      <c r="K6" s="26"/>
      <c r="L6" s="26"/>
      <c r="M6" s="26"/>
      <c r="N6" s="26"/>
      <c r="O6" s="26"/>
      <c r="P6" s="26"/>
      <c r="Q6" s="26"/>
      <c r="R6" s="26"/>
      <c r="S6" s="25"/>
      <c r="U6" s="24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5"/>
    </row>
    <row r="7" spans="1:32" ht="15" thickBot="1" x14ac:dyDescent="0.35">
      <c r="A7" s="152">
        <v>4</v>
      </c>
      <c r="B7" s="26" t="s">
        <v>135</v>
      </c>
      <c r="C7" s="26"/>
      <c r="D7" s="152">
        <v>17</v>
      </c>
      <c r="E7" t="s">
        <v>139</v>
      </c>
      <c r="H7" s="24"/>
      <c r="I7" s="26"/>
      <c r="J7" s="26"/>
      <c r="K7" s="26"/>
      <c r="L7" s="26"/>
      <c r="M7" s="26"/>
      <c r="N7" s="26"/>
      <c r="O7" s="26"/>
      <c r="P7" s="26"/>
      <c r="Q7" s="26"/>
      <c r="R7" s="26"/>
      <c r="S7" s="25"/>
      <c r="U7" s="24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5"/>
    </row>
    <row r="8" spans="1:32" ht="15" thickBot="1" x14ac:dyDescent="0.35">
      <c r="A8" s="152">
        <v>5</v>
      </c>
      <c r="B8" s="26" t="s">
        <v>136</v>
      </c>
      <c r="C8" s="26"/>
      <c r="D8" s="152">
        <v>18</v>
      </c>
      <c r="E8" t="s">
        <v>140</v>
      </c>
      <c r="G8" s="11">
        <v>2</v>
      </c>
      <c r="H8" s="70" t="s">
        <v>154</v>
      </c>
      <c r="I8" s="74"/>
      <c r="J8" s="74"/>
      <c r="K8" s="74"/>
      <c r="L8" s="74"/>
      <c r="M8" s="74"/>
      <c r="N8" s="74"/>
      <c r="O8" s="74"/>
      <c r="P8" s="74"/>
      <c r="Q8" s="74"/>
      <c r="R8" s="74"/>
      <c r="S8" s="71"/>
      <c r="U8" s="70" t="s">
        <v>154</v>
      </c>
      <c r="V8" s="74"/>
      <c r="W8" s="74"/>
      <c r="X8" s="74"/>
      <c r="Y8" s="74"/>
      <c r="Z8" s="74"/>
      <c r="AA8" s="74"/>
      <c r="AB8" s="74"/>
      <c r="AC8" s="74"/>
      <c r="AD8" s="74"/>
      <c r="AE8" s="74"/>
      <c r="AF8" s="71"/>
    </row>
    <row r="9" spans="1:32" x14ac:dyDescent="0.3">
      <c r="A9" s="152">
        <v>6</v>
      </c>
      <c r="B9" s="26" t="s">
        <v>138</v>
      </c>
      <c r="C9" s="26"/>
      <c r="D9" s="152">
        <v>19</v>
      </c>
      <c r="E9" t="s">
        <v>146</v>
      </c>
      <c r="H9" s="24"/>
      <c r="I9" s="26"/>
      <c r="J9" s="26"/>
      <c r="K9" s="26"/>
      <c r="L9" s="26"/>
      <c r="M9" s="26"/>
      <c r="N9" s="26"/>
      <c r="O9" s="26"/>
      <c r="P9" s="26"/>
      <c r="Q9" s="26"/>
      <c r="R9" s="26"/>
      <c r="S9" s="25"/>
      <c r="U9" s="24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5"/>
    </row>
    <row r="10" spans="1:32" ht="15" thickBot="1" x14ac:dyDescent="0.35">
      <c r="A10" s="152">
        <v>7</v>
      </c>
      <c r="B10" s="26" t="s">
        <v>88</v>
      </c>
      <c r="C10" s="26"/>
      <c r="H10" s="24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5"/>
      <c r="U10" s="24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5"/>
    </row>
    <row r="11" spans="1:32" ht="15" thickBot="1" x14ac:dyDescent="0.35">
      <c r="A11" s="153">
        <v>8</v>
      </c>
      <c r="B11" s="30" t="s">
        <v>134</v>
      </c>
      <c r="C11" s="26"/>
      <c r="D11" s="37"/>
      <c r="E11" s="37"/>
      <c r="G11" s="11">
        <v>3</v>
      </c>
      <c r="H11" s="70" t="s">
        <v>150</v>
      </c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1"/>
      <c r="U11" s="70" t="s">
        <v>121</v>
      </c>
      <c r="V11" s="74"/>
      <c r="W11" s="74"/>
      <c r="X11" s="71"/>
      <c r="Y11" s="70" t="s">
        <v>148</v>
      </c>
      <c r="Z11" s="74"/>
      <c r="AA11" s="74"/>
      <c r="AB11" s="74"/>
      <c r="AC11" s="74"/>
      <c r="AD11" s="74"/>
      <c r="AE11" s="74"/>
      <c r="AF11" s="71"/>
    </row>
    <row r="12" spans="1:32" x14ac:dyDescent="0.3">
      <c r="A12" s="151">
        <v>9</v>
      </c>
      <c r="B12" s="29" t="s">
        <v>94</v>
      </c>
      <c r="C12" s="26"/>
      <c r="D12" s="37"/>
      <c r="E12" s="37"/>
      <c r="H12" s="24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5"/>
      <c r="U12" s="24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5"/>
    </row>
    <row r="13" spans="1:32" ht="15" thickBot="1" x14ac:dyDescent="0.35">
      <c r="A13" s="152">
        <v>10</v>
      </c>
      <c r="B13" s="26" t="s">
        <v>95</v>
      </c>
      <c r="C13" s="26"/>
      <c r="D13" s="37"/>
      <c r="E13" s="37"/>
      <c r="H13" s="24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5"/>
      <c r="U13" s="24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5"/>
    </row>
    <row r="14" spans="1:32" ht="15" thickBot="1" x14ac:dyDescent="0.35">
      <c r="A14" s="152">
        <v>11</v>
      </c>
      <c r="B14" s="26" t="s">
        <v>133</v>
      </c>
      <c r="C14" s="26"/>
      <c r="D14" s="37"/>
      <c r="E14" s="37"/>
      <c r="G14" s="11">
        <v>4</v>
      </c>
      <c r="H14" s="70" t="s">
        <v>153</v>
      </c>
      <c r="I14" s="74"/>
      <c r="J14" s="74"/>
      <c r="K14" s="71"/>
      <c r="L14" s="31"/>
      <c r="M14" s="31"/>
      <c r="N14" s="31"/>
      <c r="O14" s="31"/>
      <c r="P14" s="70" t="s">
        <v>151</v>
      </c>
      <c r="Q14" s="74"/>
      <c r="R14" s="74"/>
      <c r="S14" s="71"/>
      <c r="U14" s="70" t="s">
        <v>122</v>
      </c>
      <c r="V14" s="74"/>
      <c r="W14" s="74"/>
      <c r="X14" s="71"/>
      <c r="Y14" s="70" t="s">
        <v>149</v>
      </c>
      <c r="Z14" s="74"/>
      <c r="AA14" s="74"/>
      <c r="AB14" s="74"/>
      <c r="AC14" s="74"/>
      <c r="AD14" s="74"/>
      <c r="AE14" s="74"/>
      <c r="AF14" s="71"/>
    </row>
    <row r="15" spans="1:32" x14ac:dyDescent="0.3">
      <c r="A15" s="152">
        <v>12</v>
      </c>
      <c r="B15" s="26" t="s">
        <v>133</v>
      </c>
      <c r="C15" s="26"/>
      <c r="D15" s="37"/>
      <c r="E15" s="37"/>
      <c r="H15" s="24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5"/>
      <c r="U15" s="24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5"/>
    </row>
    <row r="16" spans="1:32" ht="15" thickBot="1" x14ac:dyDescent="0.35">
      <c r="A16" s="152">
        <v>13</v>
      </c>
      <c r="B16" s="26" t="s">
        <v>133</v>
      </c>
      <c r="C16" s="26"/>
      <c r="D16" s="26"/>
      <c r="E16" s="26"/>
      <c r="H16" s="24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5"/>
      <c r="U16" s="24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5"/>
    </row>
    <row r="17" spans="1:32" ht="15" thickBot="1" x14ac:dyDescent="0.35">
      <c r="A17" s="152">
        <v>14</v>
      </c>
      <c r="B17" s="26" t="s">
        <v>130</v>
      </c>
      <c r="C17" s="26"/>
      <c r="G17" s="11">
        <v>5</v>
      </c>
      <c r="H17" s="75" t="s">
        <v>15</v>
      </c>
      <c r="I17" s="76"/>
      <c r="J17" s="77"/>
      <c r="K17" s="31"/>
      <c r="L17" s="31"/>
      <c r="M17" s="31"/>
      <c r="N17" s="31"/>
      <c r="O17" s="31"/>
      <c r="P17" s="31"/>
      <c r="Q17" s="31"/>
      <c r="R17" s="31"/>
      <c r="S17" s="28"/>
      <c r="U17" s="70" t="s">
        <v>108</v>
      </c>
      <c r="V17" s="71"/>
      <c r="W17" s="70" t="s">
        <v>109</v>
      </c>
      <c r="X17" s="71"/>
      <c r="Y17" s="70" t="s">
        <v>110</v>
      </c>
      <c r="Z17" s="71"/>
      <c r="AA17" s="32"/>
      <c r="AB17" s="32"/>
      <c r="AC17" s="32"/>
      <c r="AD17" s="32"/>
      <c r="AE17" s="32"/>
      <c r="AF17" s="33"/>
    </row>
    <row r="18" spans="1:32" x14ac:dyDescent="0.3">
      <c r="A18" s="152">
        <v>15</v>
      </c>
      <c r="B18" s="26" t="s">
        <v>131</v>
      </c>
      <c r="C18" s="26"/>
      <c r="H18" s="24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5"/>
      <c r="U18" s="24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5"/>
    </row>
    <row r="19" spans="1:32" ht="15" thickBot="1" x14ac:dyDescent="0.35">
      <c r="A19" s="152">
        <v>16</v>
      </c>
      <c r="B19" s="26" t="s">
        <v>96</v>
      </c>
      <c r="C19" s="26"/>
      <c r="H19" s="24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5"/>
      <c r="U19" s="24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5"/>
    </row>
    <row r="20" spans="1:32" ht="15" thickBot="1" x14ac:dyDescent="0.35">
      <c r="G20" s="11">
        <v>6</v>
      </c>
      <c r="H20" s="72" t="s">
        <v>152</v>
      </c>
      <c r="I20" s="73"/>
      <c r="J20" s="70" t="s">
        <v>5</v>
      </c>
      <c r="K20" s="74"/>
      <c r="L20" s="74"/>
      <c r="M20" s="71"/>
      <c r="N20" s="27"/>
      <c r="O20" s="31"/>
      <c r="P20" s="31"/>
      <c r="Q20" s="31"/>
      <c r="R20" s="70" t="s">
        <v>155</v>
      </c>
      <c r="S20" s="71"/>
      <c r="U20" s="34"/>
      <c r="V20" s="35"/>
      <c r="W20" s="35"/>
      <c r="X20" s="35"/>
      <c r="Y20" s="35"/>
      <c r="Z20" s="35"/>
      <c r="AA20" s="31"/>
      <c r="AB20" s="31"/>
      <c r="AC20" s="31"/>
      <c r="AD20" s="31"/>
      <c r="AE20" s="31"/>
      <c r="AF20" s="28"/>
    </row>
    <row r="21" spans="1:32" x14ac:dyDescent="0.3">
      <c r="H21" s="24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5"/>
      <c r="U21" s="24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5"/>
    </row>
    <row r="22" spans="1:32" ht="15" thickBot="1" x14ac:dyDescent="0.35">
      <c r="H22" s="24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5"/>
      <c r="U22" s="24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5"/>
    </row>
    <row r="23" spans="1:32" ht="15" thickBot="1" x14ac:dyDescent="0.35">
      <c r="G23" s="11">
        <v>7</v>
      </c>
      <c r="H23" s="34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6"/>
      <c r="T23" s="25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28"/>
    </row>
    <row r="24" spans="1:32" x14ac:dyDescent="0.3">
      <c r="H24" s="24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5"/>
      <c r="U24" s="24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5"/>
    </row>
    <row r="25" spans="1:32" ht="15" thickBot="1" x14ac:dyDescent="0.35">
      <c r="H25" s="14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15"/>
      <c r="U25" s="14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15"/>
    </row>
    <row r="27" spans="1:32" ht="15" thickBot="1" x14ac:dyDescent="0.35"/>
    <row r="28" spans="1:32" ht="15" thickBot="1" x14ac:dyDescent="0.35">
      <c r="A28" s="148" t="s">
        <v>159</v>
      </c>
      <c r="B28" s="149"/>
      <c r="C28" s="150"/>
      <c r="H28" s="12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13"/>
    </row>
    <row r="29" spans="1:32" ht="15" thickBot="1" x14ac:dyDescent="0.35">
      <c r="A29" s="24" t="s">
        <v>80</v>
      </c>
      <c r="B29" s="26" t="s">
        <v>126</v>
      </c>
      <c r="C29" s="25" t="s">
        <v>48</v>
      </c>
      <c r="H29" s="24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5"/>
    </row>
    <row r="30" spans="1:32" ht="15" thickBot="1" x14ac:dyDescent="0.35">
      <c r="A30" s="38" t="s">
        <v>121</v>
      </c>
      <c r="B30" s="39" t="s">
        <v>119</v>
      </c>
      <c r="C30" s="41">
        <v>4</v>
      </c>
      <c r="G30" s="11">
        <v>1</v>
      </c>
      <c r="H30" s="27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28"/>
    </row>
    <row r="31" spans="1:32" x14ac:dyDescent="0.3">
      <c r="A31" s="40" t="s">
        <v>101</v>
      </c>
      <c r="B31" s="41" t="s">
        <v>119</v>
      </c>
      <c r="C31" s="41">
        <v>1</v>
      </c>
      <c r="H31" s="24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5"/>
    </row>
    <row r="32" spans="1:32" ht="15" thickBot="1" x14ac:dyDescent="0.35">
      <c r="A32" s="40" t="s">
        <v>101</v>
      </c>
      <c r="B32" s="41" t="s">
        <v>119</v>
      </c>
      <c r="C32" s="41">
        <v>1</v>
      </c>
      <c r="H32" s="24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5"/>
    </row>
    <row r="33" spans="1:19" ht="15" thickBot="1" x14ac:dyDescent="0.35">
      <c r="A33" s="42" t="s">
        <v>101</v>
      </c>
      <c r="B33" s="43" t="s">
        <v>119</v>
      </c>
      <c r="C33" s="41">
        <v>1</v>
      </c>
      <c r="G33" s="11">
        <v>2</v>
      </c>
      <c r="H33" s="27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28"/>
    </row>
    <row r="34" spans="1:19" x14ac:dyDescent="0.3">
      <c r="A34" s="38" t="s">
        <v>122</v>
      </c>
      <c r="B34" s="39" t="s">
        <v>118</v>
      </c>
      <c r="C34" s="59">
        <v>2</v>
      </c>
      <c r="H34" s="24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5"/>
    </row>
    <row r="35" spans="1:19" ht="15" thickBot="1" x14ac:dyDescent="0.35">
      <c r="A35" s="42" t="s">
        <v>102</v>
      </c>
      <c r="B35" s="43" t="s">
        <v>118</v>
      </c>
      <c r="C35" s="60">
        <v>1</v>
      </c>
      <c r="H35" s="24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5"/>
    </row>
    <row r="36" spans="1:19" ht="15" thickBot="1" x14ac:dyDescent="0.35">
      <c r="A36" s="44" t="s">
        <v>162</v>
      </c>
      <c r="B36" s="45" t="s">
        <v>163</v>
      </c>
      <c r="C36" s="47">
        <v>4</v>
      </c>
      <c r="G36" s="11">
        <v>3</v>
      </c>
      <c r="H36" s="65" t="s">
        <v>162</v>
      </c>
      <c r="I36" s="66"/>
      <c r="J36" s="66"/>
      <c r="K36" s="66"/>
      <c r="L36" s="65" t="s">
        <v>166</v>
      </c>
      <c r="M36" s="66"/>
      <c r="N36" s="66"/>
      <c r="O36" s="66"/>
      <c r="P36" s="66"/>
      <c r="Q36" s="65" t="s">
        <v>122</v>
      </c>
      <c r="R36" s="66"/>
      <c r="S36" s="53" t="s">
        <v>102</v>
      </c>
    </row>
    <row r="37" spans="1:19" x14ac:dyDescent="0.3">
      <c r="A37" s="46" t="s">
        <v>103</v>
      </c>
      <c r="B37" s="47" t="s">
        <v>123</v>
      </c>
      <c r="C37" s="47">
        <v>1</v>
      </c>
      <c r="H37" s="54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6"/>
    </row>
    <row r="38" spans="1:19" ht="15" thickBot="1" x14ac:dyDescent="0.35">
      <c r="A38" s="46" t="s">
        <v>104</v>
      </c>
      <c r="B38" s="47" t="s">
        <v>123</v>
      </c>
      <c r="C38" s="47">
        <v>1</v>
      </c>
      <c r="H38" s="54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6"/>
    </row>
    <row r="39" spans="1:19" ht="15" thickBot="1" x14ac:dyDescent="0.35">
      <c r="A39" s="46" t="s">
        <v>105</v>
      </c>
      <c r="B39" s="47" t="s">
        <v>123</v>
      </c>
      <c r="C39" s="47">
        <v>1</v>
      </c>
      <c r="G39" s="11">
        <v>4</v>
      </c>
      <c r="H39" s="65" t="s">
        <v>121</v>
      </c>
      <c r="I39" s="66"/>
      <c r="J39" s="66"/>
      <c r="K39" s="66"/>
      <c r="L39" s="65" t="s">
        <v>101</v>
      </c>
      <c r="M39" s="66"/>
      <c r="N39" s="66"/>
      <c r="O39" s="65" t="s">
        <v>162</v>
      </c>
      <c r="P39" s="66"/>
      <c r="Q39" s="65" t="s">
        <v>167</v>
      </c>
      <c r="R39" s="66"/>
      <c r="S39" s="67"/>
    </row>
    <row r="40" spans="1:19" x14ac:dyDescent="0.3">
      <c r="A40" s="46" t="s">
        <v>106</v>
      </c>
      <c r="B40" s="47" t="s">
        <v>160</v>
      </c>
      <c r="C40" s="47">
        <v>1</v>
      </c>
      <c r="H40" s="24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5"/>
    </row>
    <row r="41" spans="1:19" ht="15" thickBot="1" x14ac:dyDescent="0.35">
      <c r="A41" s="48" t="s">
        <v>107</v>
      </c>
      <c r="B41" s="49" t="s">
        <v>161</v>
      </c>
      <c r="C41" s="47">
        <v>1</v>
      </c>
      <c r="H41" s="24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5"/>
    </row>
    <row r="42" spans="1:19" ht="15" thickBot="1" x14ac:dyDescent="0.35">
      <c r="A42" s="38" t="s">
        <v>162</v>
      </c>
      <c r="B42" s="39" t="s">
        <v>164</v>
      </c>
      <c r="C42" s="59">
        <v>2</v>
      </c>
      <c r="G42" s="11">
        <v>5</v>
      </c>
      <c r="H42" s="68" t="s">
        <v>165</v>
      </c>
      <c r="I42" s="69"/>
      <c r="J42" s="31"/>
      <c r="K42" s="31"/>
      <c r="L42" s="31"/>
      <c r="M42" s="31"/>
      <c r="N42" s="31"/>
      <c r="O42" s="31"/>
      <c r="P42" s="31"/>
      <c r="Q42" s="31"/>
      <c r="R42" s="31"/>
      <c r="S42" s="28"/>
    </row>
    <row r="43" spans="1:19" x14ac:dyDescent="0.3">
      <c r="A43" s="40" t="s">
        <v>127</v>
      </c>
      <c r="B43" s="41" t="s">
        <v>115</v>
      </c>
      <c r="C43" s="61">
        <v>1</v>
      </c>
      <c r="H43" s="24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5"/>
    </row>
    <row r="44" spans="1:19" ht="15" thickBot="1" x14ac:dyDescent="0.35">
      <c r="A44" s="46" t="s">
        <v>128</v>
      </c>
      <c r="B44" s="47" t="s">
        <v>120</v>
      </c>
      <c r="C44" s="62">
        <v>1</v>
      </c>
      <c r="H44" s="24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5"/>
    </row>
    <row r="45" spans="1:19" ht="15" thickBot="1" x14ac:dyDescent="0.35">
      <c r="A45" s="48" t="s">
        <v>129</v>
      </c>
      <c r="B45" s="49" t="s">
        <v>117</v>
      </c>
      <c r="C45" s="63">
        <v>1</v>
      </c>
      <c r="G45" s="11">
        <v>6</v>
      </c>
      <c r="H45" s="27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28"/>
    </row>
    <row r="46" spans="1:19" ht="15" thickBot="1" x14ac:dyDescent="0.35">
      <c r="A46" s="50" t="s">
        <v>165</v>
      </c>
      <c r="B46" s="51" t="s">
        <v>116</v>
      </c>
      <c r="C46" s="49">
        <v>2</v>
      </c>
      <c r="H46" s="24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5"/>
    </row>
    <row r="47" spans="1:19" ht="15" thickBot="1" x14ac:dyDescent="0.35">
      <c r="A47" t="s">
        <v>168</v>
      </c>
      <c r="C47" s="52">
        <f>SUBTOTAL(109,Tabelle8[TE])</f>
        <v>26</v>
      </c>
      <c r="H47" s="14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15"/>
    </row>
  </sheetData>
  <mergeCells count="35">
    <mergeCell ref="H17:J17"/>
    <mergeCell ref="J20:M20"/>
    <mergeCell ref="H20:I20"/>
    <mergeCell ref="A28:C28"/>
    <mergeCell ref="S1:S2"/>
    <mergeCell ref="U1:U2"/>
    <mergeCell ref="AA1:AA2"/>
    <mergeCell ref="AF1:AF2"/>
    <mergeCell ref="H1:H2"/>
    <mergeCell ref="M1:M2"/>
    <mergeCell ref="R20:S20"/>
    <mergeCell ref="Y14:AF14"/>
    <mergeCell ref="U14:X14"/>
    <mergeCell ref="AA5:AF5"/>
    <mergeCell ref="U5:Z5"/>
    <mergeCell ref="U17:V17"/>
    <mergeCell ref="W17:X17"/>
    <mergeCell ref="Y17:Z17"/>
    <mergeCell ref="H11:S11"/>
    <mergeCell ref="P14:S14"/>
    <mergeCell ref="U11:X11"/>
    <mergeCell ref="Y11:AF11"/>
    <mergeCell ref="H14:K14"/>
    <mergeCell ref="H5:S5"/>
    <mergeCell ref="H8:S8"/>
    <mergeCell ref="U8:AF8"/>
    <mergeCell ref="A2:B2"/>
    <mergeCell ref="Q39:S39"/>
    <mergeCell ref="Q36:R36"/>
    <mergeCell ref="H42:I42"/>
    <mergeCell ref="H39:K39"/>
    <mergeCell ref="L39:N39"/>
    <mergeCell ref="H36:K36"/>
    <mergeCell ref="L36:P36"/>
    <mergeCell ref="O39:P39"/>
  </mergeCells>
  <phoneticPr fontId="3" type="noConversion"/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G40"/>
  <sheetViews>
    <sheetView tabSelected="1" workbookViewId="0">
      <selection activeCell="H34" sqref="H34"/>
    </sheetView>
  </sheetViews>
  <sheetFormatPr baseColWidth="10" defaultRowHeight="14.4" x14ac:dyDescent="0.3"/>
  <cols>
    <col min="1" max="1" width="11.88671875" bestFit="1" customWidth="1"/>
    <col min="2" max="2" width="3.44140625" style="11" customWidth="1"/>
    <col min="3" max="3" width="23.33203125" bestFit="1" customWidth="1"/>
    <col min="4" max="4" width="11.5546875" style="133"/>
    <col min="5" max="5" width="11.5546875" style="156"/>
  </cols>
  <sheetData>
    <row r="1" spans="1:6" ht="15" thickBot="1" x14ac:dyDescent="0.35">
      <c r="A1" t="s">
        <v>75</v>
      </c>
      <c r="C1" t="s">
        <v>76</v>
      </c>
      <c r="D1" s="133" t="s">
        <v>172</v>
      </c>
      <c r="E1" s="156" t="s">
        <v>80</v>
      </c>
    </row>
    <row r="2" spans="1:6" ht="15" thickBot="1" x14ac:dyDescent="0.35">
      <c r="A2" s="126" t="s">
        <v>89</v>
      </c>
      <c r="B2" s="102">
        <v>1</v>
      </c>
      <c r="C2" s="161" t="s">
        <v>77</v>
      </c>
      <c r="D2" s="140" t="s">
        <v>174</v>
      </c>
      <c r="E2" s="132">
        <v>14</v>
      </c>
    </row>
    <row r="3" spans="1:6" ht="15" thickBot="1" x14ac:dyDescent="0.35">
      <c r="A3" s="127"/>
      <c r="B3" s="162">
        <v>2</v>
      </c>
      <c r="C3" s="161" t="s">
        <v>78</v>
      </c>
      <c r="D3" s="140" t="s">
        <v>175</v>
      </c>
      <c r="E3" s="160">
        <v>14</v>
      </c>
    </row>
    <row r="4" spans="1:6" x14ac:dyDescent="0.3">
      <c r="A4" s="111"/>
      <c r="B4" s="89">
        <v>3</v>
      </c>
      <c r="C4" s="117" t="s">
        <v>177</v>
      </c>
      <c r="D4" s="91" t="s">
        <v>176</v>
      </c>
      <c r="E4" s="124">
        <v>1</v>
      </c>
    </row>
    <row r="5" spans="1:6" ht="15" thickBot="1" x14ac:dyDescent="0.35">
      <c r="A5" s="111"/>
      <c r="B5" s="89"/>
      <c r="C5" s="118" t="s">
        <v>178</v>
      </c>
      <c r="D5" s="92"/>
      <c r="E5" s="116"/>
    </row>
    <row r="6" spans="1:6" x14ac:dyDescent="0.3">
      <c r="A6" s="111"/>
      <c r="B6" s="88">
        <v>4</v>
      </c>
      <c r="C6" s="117" t="s">
        <v>179</v>
      </c>
      <c r="D6" s="91" t="s">
        <v>176</v>
      </c>
      <c r="E6" s="115">
        <v>1</v>
      </c>
    </row>
    <row r="7" spans="1:6" ht="15" thickBot="1" x14ac:dyDescent="0.35">
      <c r="A7" s="111"/>
      <c r="B7" s="90"/>
      <c r="C7" s="119" t="s">
        <v>173</v>
      </c>
      <c r="D7" s="92"/>
      <c r="E7" s="116"/>
    </row>
    <row r="8" spans="1:6" ht="15" thickBot="1" x14ac:dyDescent="0.35">
      <c r="A8" s="111"/>
      <c r="B8" s="120">
        <v>5</v>
      </c>
      <c r="C8" s="121" t="s">
        <v>96</v>
      </c>
      <c r="D8" s="135" t="s">
        <v>176</v>
      </c>
      <c r="E8" s="122">
        <v>16</v>
      </c>
    </row>
    <row r="9" spans="1:6" x14ac:dyDescent="0.3">
      <c r="A9" s="113" t="s">
        <v>25</v>
      </c>
      <c r="B9" s="85">
        <v>6</v>
      </c>
      <c r="C9" s="29" t="s">
        <v>81</v>
      </c>
      <c r="D9" s="95" t="s">
        <v>176</v>
      </c>
      <c r="E9" s="105">
        <v>15</v>
      </c>
    </row>
    <row r="10" spans="1:6" ht="15" thickBot="1" x14ac:dyDescent="0.35">
      <c r="A10" s="114"/>
      <c r="B10" s="86"/>
      <c r="C10" s="26" t="s">
        <v>82</v>
      </c>
      <c r="D10" s="96"/>
      <c r="E10" s="106"/>
      <c r="F10" s="26"/>
    </row>
    <row r="11" spans="1:6" x14ac:dyDescent="0.3">
      <c r="A11" s="114"/>
      <c r="B11" s="85">
        <v>7</v>
      </c>
      <c r="C11" s="29" t="s">
        <v>83</v>
      </c>
      <c r="D11" s="136" t="s">
        <v>176</v>
      </c>
      <c r="E11" s="105">
        <v>2</v>
      </c>
      <c r="F11" s="26"/>
    </row>
    <row r="12" spans="1:6" ht="15" thickBot="1" x14ac:dyDescent="0.35">
      <c r="A12" s="114"/>
      <c r="B12" s="86"/>
      <c r="C12" s="97" t="s">
        <v>180</v>
      </c>
      <c r="D12" s="136"/>
      <c r="E12" s="106"/>
      <c r="F12" s="37"/>
    </row>
    <row r="13" spans="1:6" x14ac:dyDescent="0.3">
      <c r="A13" s="114"/>
      <c r="B13" s="85">
        <v>8</v>
      </c>
      <c r="C13" s="13" t="s">
        <v>84</v>
      </c>
      <c r="D13" s="137" t="s">
        <v>176</v>
      </c>
      <c r="E13" s="105">
        <v>2</v>
      </c>
      <c r="F13" s="37"/>
    </row>
    <row r="14" spans="1:6" x14ac:dyDescent="0.3">
      <c r="A14" s="114"/>
      <c r="B14" s="86"/>
      <c r="C14" s="25" t="s">
        <v>181</v>
      </c>
      <c r="D14" s="136"/>
      <c r="E14" s="108"/>
      <c r="F14" s="37"/>
    </row>
    <row r="15" spans="1:6" ht="15" thickBot="1" x14ac:dyDescent="0.35">
      <c r="A15" s="114"/>
      <c r="B15" s="87"/>
      <c r="C15" s="15" t="s">
        <v>182</v>
      </c>
      <c r="D15" s="138"/>
      <c r="E15" s="106"/>
      <c r="F15" s="37"/>
    </row>
    <row r="16" spans="1:6" ht="15" thickBot="1" x14ac:dyDescent="0.35">
      <c r="A16" s="114"/>
      <c r="B16" s="101">
        <v>9</v>
      </c>
      <c r="C16" s="99" t="s">
        <v>97</v>
      </c>
      <c r="D16" s="32" t="s">
        <v>176</v>
      </c>
      <c r="E16" s="107">
        <v>16</v>
      </c>
      <c r="F16" s="37"/>
    </row>
    <row r="17" spans="1:7" ht="15" thickBot="1" x14ac:dyDescent="0.35">
      <c r="A17" s="114"/>
      <c r="B17" s="101">
        <v>10</v>
      </c>
      <c r="C17" s="81" t="s">
        <v>98</v>
      </c>
      <c r="D17" s="139" t="s">
        <v>176</v>
      </c>
      <c r="E17" s="107">
        <v>16</v>
      </c>
      <c r="F17" s="26"/>
      <c r="G17" s="104"/>
    </row>
    <row r="18" spans="1:7" ht="15" thickBot="1" x14ac:dyDescent="0.35">
      <c r="A18" s="110" t="s">
        <v>24</v>
      </c>
      <c r="B18" s="58">
        <v>11</v>
      </c>
      <c r="C18" s="103" t="s">
        <v>86</v>
      </c>
      <c r="D18" s="140" t="s">
        <v>174</v>
      </c>
      <c r="E18" s="122">
        <v>19</v>
      </c>
      <c r="F18" s="26"/>
    </row>
    <row r="19" spans="1:7" ht="15" thickBot="1" x14ac:dyDescent="0.35">
      <c r="A19" s="111"/>
      <c r="B19" s="57">
        <v>12</v>
      </c>
      <c r="C19" s="121" t="s">
        <v>87</v>
      </c>
      <c r="D19" s="140" t="s">
        <v>174</v>
      </c>
      <c r="E19" s="122">
        <v>8</v>
      </c>
    </row>
    <row r="20" spans="1:7" ht="15" thickBot="1" x14ac:dyDescent="0.35">
      <c r="A20" s="111"/>
      <c r="B20" s="57">
        <v>13</v>
      </c>
      <c r="C20" s="121" t="s">
        <v>88</v>
      </c>
      <c r="D20" s="140" t="s">
        <v>174</v>
      </c>
      <c r="E20" s="122">
        <v>7</v>
      </c>
    </row>
    <row r="21" spans="1:7" ht="15" thickBot="1" x14ac:dyDescent="0.35">
      <c r="A21" s="111"/>
      <c r="B21" s="58">
        <v>14</v>
      </c>
      <c r="C21" s="121" t="s">
        <v>96</v>
      </c>
      <c r="D21" s="140" t="s">
        <v>176</v>
      </c>
      <c r="E21" s="122">
        <v>16</v>
      </c>
    </row>
    <row r="22" spans="1:7" ht="15" thickBot="1" x14ac:dyDescent="0.35">
      <c r="A22" s="111"/>
      <c r="B22" s="123">
        <v>15</v>
      </c>
      <c r="C22" s="121" t="s">
        <v>90</v>
      </c>
      <c r="D22" s="134" t="s">
        <v>184</v>
      </c>
      <c r="E22" s="122">
        <v>11</v>
      </c>
    </row>
    <row r="23" spans="1:7" x14ac:dyDescent="0.3">
      <c r="A23" s="111"/>
      <c r="B23" s="88">
        <v>16</v>
      </c>
      <c r="C23" s="117" t="s">
        <v>85</v>
      </c>
      <c r="D23" s="91" t="s">
        <v>176</v>
      </c>
      <c r="E23" s="115">
        <v>15</v>
      </c>
    </row>
    <row r="24" spans="1:7" ht="15" thickBot="1" x14ac:dyDescent="0.35">
      <c r="A24" s="111"/>
      <c r="B24" s="90"/>
      <c r="C24" s="118" t="s">
        <v>82</v>
      </c>
      <c r="D24" s="93"/>
      <c r="E24" s="124"/>
    </row>
    <row r="25" spans="1:7" ht="15" thickBot="1" x14ac:dyDescent="0.35">
      <c r="A25" s="111"/>
      <c r="B25" s="120">
        <v>17</v>
      </c>
      <c r="C25" s="121" t="s">
        <v>183</v>
      </c>
      <c r="D25" s="134" t="s">
        <v>174</v>
      </c>
      <c r="E25" s="122">
        <v>3</v>
      </c>
    </row>
    <row r="26" spans="1:7" x14ac:dyDescent="0.3">
      <c r="A26" s="113" t="s">
        <v>27</v>
      </c>
      <c r="B26" s="85">
        <v>18</v>
      </c>
      <c r="C26" s="29" t="s">
        <v>91</v>
      </c>
      <c r="D26" s="137" t="s">
        <v>176</v>
      </c>
      <c r="E26" s="105">
        <v>3</v>
      </c>
    </row>
    <row r="27" spans="1:7" ht="15" thickBot="1" x14ac:dyDescent="0.35">
      <c r="A27" s="114"/>
      <c r="B27" s="87"/>
      <c r="C27" s="30" t="s">
        <v>16</v>
      </c>
      <c r="D27" s="138"/>
      <c r="E27" s="106"/>
    </row>
    <row r="28" spans="1:7" ht="15" thickBot="1" x14ac:dyDescent="0.35">
      <c r="A28" s="114"/>
      <c r="B28" s="100">
        <v>19</v>
      </c>
      <c r="C28" s="80" t="s">
        <v>92</v>
      </c>
      <c r="D28" s="141" t="s">
        <v>176</v>
      </c>
      <c r="E28" s="131">
        <v>19</v>
      </c>
    </row>
    <row r="29" spans="1:7" x14ac:dyDescent="0.3">
      <c r="A29" s="126" t="s">
        <v>28</v>
      </c>
      <c r="B29" s="82">
        <v>20</v>
      </c>
      <c r="C29" s="117" t="s">
        <v>82</v>
      </c>
      <c r="D29" s="91" t="s">
        <v>176</v>
      </c>
      <c r="E29" s="115">
        <v>15</v>
      </c>
    </row>
    <row r="30" spans="1:7" ht="15" thickBot="1" x14ac:dyDescent="0.35">
      <c r="A30" s="127"/>
      <c r="B30" s="83"/>
      <c r="C30" s="119" t="s">
        <v>93</v>
      </c>
      <c r="D30" s="93"/>
      <c r="E30" s="124"/>
    </row>
    <row r="31" spans="1:7" ht="15" thickBot="1" x14ac:dyDescent="0.35">
      <c r="A31" s="111"/>
      <c r="B31" s="128">
        <v>21</v>
      </c>
      <c r="C31" s="125" t="s">
        <v>94</v>
      </c>
      <c r="D31" s="94" t="s">
        <v>174</v>
      </c>
      <c r="E31" s="122">
        <v>9</v>
      </c>
    </row>
    <row r="32" spans="1:7" ht="15" thickBot="1" x14ac:dyDescent="0.35">
      <c r="A32" s="111"/>
      <c r="B32" s="57">
        <v>22</v>
      </c>
      <c r="C32" s="125" t="s">
        <v>95</v>
      </c>
      <c r="D32" s="142" t="s">
        <v>174</v>
      </c>
      <c r="E32" s="122">
        <v>10</v>
      </c>
    </row>
    <row r="33" spans="1:5" ht="15" thickBot="1" x14ac:dyDescent="0.35">
      <c r="A33" s="112"/>
      <c r="B33" s="128">
        <v>23</v>
      </c>
      <c r="C33" s="118" t="s">
        <v>79</v>
      </c>
      <c r="D33" s="94" t="s">
        <v>174</v>
      </c>
      <c r="E33" s="132">
        <v>4</v>
      </c>
    </row>
    <row r="34" spans="1:5" x14ac:dyDescent="0.3">
      <c r="A34" s="24" t="s">
        <v>26</v>
      </c>
      <c r="B34" s="109"/>
      <c r="C34" s="26" t="s">
        <v>99</v>
      </c>
      <c r="D34" s="143"/>
      <c r="E34" s="157"/>
    </row>
    <row r="35" spans="1:5" x14ac:dyDescent="0.3">
      <c r="A35" s="24"/>
      <c r="B35" s="109"/>
      <c r="C35" s="26"/>
      <c r="D35" s="143"/>
      <c r="E35" s="157"/>
    </row>
    <row r="36" spans="1:5" ht="15" thickBot="1" x14ac:dyDescent="0.35">
      <c r="A36" s="24"/>
      <c r="B36" s="109"/>
      <c r="C36" s="26"/>
      <c r="D36" s="143"/>
      <c r="E36" s="157"/>
    </row>
    <row r="37" spans="1:5" ht="15" thickBot="1" x14ac:dyDescent="0.35">
      <c r="A37" s="145" t="s">
        <v>29</v>
      </c>
      <c r="B37" s="155"/>
      <c r="C37" s="125" t="s">
        <v>82</v>
      </c>
      <c r="D37" s="103" t="s">
        <v>174</v>
      </c>
      <c r="E37" s="158">
        <v>14</v>
      </c>
    </row>
    <row r="38" spans="1:5" ht="15" thickBot="1" x14ac:dyDescent="0.35">
      <c r="A38" s="146"/>
      <c r="B38" s="129"/>
      <c r="C38" s="119" t="s">
        <v>79</v>
      </c>
      <c r="D38" s="84" t="s">
        <v>174</v>
      </c>
      <c r="E38" s="130">
        <v>5</v>
      </c>
    </row>
    <row r="39" spans="1:5" ht="15" thickBot="1" x14ac:dyDescent="0.35">
      <c r="A39" s="147"/>
      <c r="B39" s="155"/>
      <c r="C39" s="125" t="s">
        <v>111</v>
      </c>
      <c r="D39" s="103" t="s">
        <v>174</v>
      </c>
      <c r="E39" s="158">
        <v>17</v>
      </c>
    </row>
    <row r="40" spans="1:5" ht="15" thickBot="1" x14ac:dyDescent="0.35">
      <c r="A40" s="14" t="s">
        <v>31</v>
      </c>
      <c r="B40" s="98"/>
      <c r="C40" s="30" t="s">
        <v>100</v>
      </c>
      <c r="D40" s="144" t="s">
        <v>174</v>
      </c>
      <c r="E40" s="159">
        <v>5</v>
      </c>
    </row>
  </sheetData>
  <mergeCells count="29">
    <mergeCell ref="A29:A33"/>
    <mergeCell ref="B29:B30"/>
    <mergeCell ref="D29:D30"/>
    <mergeCell ref="E29:E30"/>
    <mergeCell ref="B23:B24"/>
    <mergeCell ref="D26:D27"/>
    <mergeCell ref="E26:E27"/>
    <mergeCell ref="B26:B27"/>
    <mergeCell ref="A2:A8"/>
    <mergeCell ref="A9:A17"/>
    <mergeCell ref="A18:A25"/>
    <mergeCell ref="A26:A28"/>
    <mergeCell ref="D23:D24"/>
    <mergeCell ref="E4:E5"/>
    <mergeCell ref="E6:E7"/>
    <mergeCell ref="E9:E10"/>
    <mergeCell ref="E11:E12"/>
    <mergeCell ref="E13:E15"/>
    <mergeCell ref="E23:E24"/>
    <mergeCell ref="D9:D10"/>
    <mergeCell ref="B4:B5"/>
    <mergeCell ref="B6:B7"/>
    <mergeCell ref="B9:B10"/>
    <mergeCell ref="B11:B12"/>
    <mergeCell ref="D13:D15"/>
    <mergeCell ref="B13:B15"/>
    <mergeCell ref="D4:D5"/>
    <mergeCell ref="D6:D7"/>
    <mergeCell ref="D11:D1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dcterms:created xsi:type="dcterms:W3CDTF">2020-11-22T19:29:23Z</dcterms:created>
  <dcterms:modified xsi:type="dcterms:W3CDTF">2020-12-20T22:17:01Z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