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om\Documents\Umbau\Elektro\"/>
    </mc:Choice>
  </mc:AlternateContent>
  <xr:revisionPtr revIDLastSave="0" documentId="13_ncr:1_{30987D84-0BB3-442A-9154-C3F441C06561}" xr6:coauthVersionLast="45" xr6:coauthVersionMax="45" xr10:uidLastSave="{00000000-0000-0000-0000-000000000000}"/>
  <bookViews>
    <workbookView xWindow="20052" yWindow="-480" windowWidth="23256" windowHeight="12576" activeTab="4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5" l="1"/>
  <c r="H12" i="5"/>
  <c r="H10" i="5"/>
  <c r="H9" i="5"/>
  <c r="H4" i="3" l="1"/>
  <c r="C50" i="4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<sst xmlns="http://schemas.openxmlformats.org/spreadsheetml/2006/main" count="284" uniqueCount="193">
  <si>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</si>
  <si>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</si>
  <si>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</si>
  <si>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</si>
  <si>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</si>
  <si>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</si>
  <si>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</si>
  <si>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</si>
  <si>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</si>
  <si>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</si>
  <si>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</si>
  <si>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</si>
  <si>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</si>
  <si>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</si>
  <si>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</si>
  <si>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</si>
  <si>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</si>
  <si>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</si>
  <si>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</si>
  <si>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</si>
  <si>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</si>
  <si>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</si>
  <si>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</si>
  <si>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</si>
  <si>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</si>
  <si>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</si>
  <si>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</si>
  <si>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</si>
  <si>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</si>
  <si>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</si>
  <si>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</si>
  <si>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</si>
  <si>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</si>
  <si>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</si>
  <si>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</si>
  <si>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</si>
  <si>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</si>
  <si>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</si>
  <si>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</si>
  <si>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</si>
  <si>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</si>
  <si>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</si>
  <si>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</si>
  <si>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</si>
  <si>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</si>
  <si>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</si>
  <si>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</si>
  <si>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</si>
  <si>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</si>
  <si>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</si>
  <si>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</si>
  <si>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</si>
  <si>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</si>
  <si>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</si>
  <si>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</si>
  <si>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</si>
  <si>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</si>
  <si>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</si>
  <si>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</si>
  <si>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</si>
  <si>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</si>
  <si>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</si>
  <si>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</si>
  <si>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</si>
  <si>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</si>
  <si>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</si>
  <si>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</si>
  <si>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</si>
  <si>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</si>
  <si>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</si>
  <si>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</si>
  <si>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</si>
  <si>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</si>
  <si>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</si>
  <si>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</si>
  <si>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</si>
  <si>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</si>
  <si>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</si>
  <si>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</si>
  <si>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Steckdosen ungeschaltet</t>
  </si>
  <si>
    <t>Sicherung</t>
  </si>
  <si>
    <t>Lampe Esstisch</t>
  </si>
  <si>
    <t>Deckenspots</t>
  </si>
  <si>
    <t>Steckdose Fenster Süd</t>
  </si>
  <si>
    <t>Steckdose Fenster Ost</t>
  </si>
  <si>
    <t>Lampen Teke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</si>
  <si>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</si>
  <si>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</si>
  <si>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</si>
  <si>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</si>
  <si>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</si>
  <si>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</si>
  <si>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</si>
  <si>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</si>
  <si>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</si>
  <si>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</si>
  <si>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</si>
  <si>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</si>
  <si>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</si>
  <si>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</si>
  <si>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</si>
  <si>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</si>
  <si>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</si>
  <si>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</si>
  <si>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</si>
  <si>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</si>
  <si>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</si>
  <si>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</si>
  <si>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</si>
  <si>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</si>
  <si>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</si>
  <si>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</si>
  <si>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</si>
  <si>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</si>
  <si>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</si>
  <si>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</si>
  <si>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</si>
  <si>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</si>
  <si>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</si>
  <si>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</si>
  <si>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</si>
  <si>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</si>
  <si>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</si>
  <si>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</si>
  <si>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</si>
  <si>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</si>
  <si>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</si>
  <si>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</si>
  <si>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</si>
  <si>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</si>
  <si>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Licht West</t>
  </si>
  <si>
    <t>Licht Ost</t>
  </si>
  <si>
    <t>Steckdosen Essen</t>
  </si>
  <si>
    <t>Herd</t>
  </si>
  <si>
    <t>Ofen</t>
  </si>
  <si>
    <t>Steckdosen Bad</t>
  </si>
  <si>
    <t>Steckdosen Gang/Klo</t>
  </si>
  <si>
    <t>Steckdosen Küche/Speis</t>
  </si>
  <si>
    <t>Steckdosen Wohnen</t>
  </si>
  <si>
    <t>Steckdose Haustür</t>
  </si>
  <si>
    <t>F1-F8</t>
  </si>
  <si>
    <t>F9-F16</t>
  </si>
  <si>
    <t>FI-LS-Kombi</t>
  </si>
  <si>
    <t>Funktion</t>
  </si>
  <si>
    <t>Kühl- und Gefrierschrank</t>
  </si>
  <si>
    <t>Steckdosen Schlafen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</si>
  <si>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</si>
  <si>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</si>
  <si>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</si>
  <si>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</si>
  <si>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</si>
  <si>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</si>
  <si>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</si>
  <si>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</si>
  <si>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</si>
  <si>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</si>
  <si>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</si>
  <si>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</si>
  <si>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</si>
  <si>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</si>
  <si>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</si>
  <si>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</si>
  <si>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</si>
  <si>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</si>
  <si>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</si>
  <si>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</si>
  <si>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Ergebnis</t>
  </si>
  <si>
    <t>Fega</t>
  </si>
  <si>
    <t xml:space="preserve">elektro </t>
  </si>
  <si>
    <t>Verteilerkasten Keller</t>
  </si>
  <si>
    <t>Zuleitung</t>
  </si>
  <si>
    <t>Steckdose Schrank</t>
  </si>
  <si>
    <t>3x1,5</t>
  </si>
  <si>
    <t>7x1,5</t>
  </si>
  <si>
    <t>5x1,5</t>
  </si>
  <si>
    <t>Steckdosen Bett/Tür</t>
  </si>
  <si>
    <t>Steckdosen Fenster/TV</t>
  </si>
  <si>
    <t>Steckdosen hinter Tür</t>
  </si>
  <si>
    <t>Steckdosen TV/Süd-Ost</t>
  </si>
  <si>
    <t>Steckdose Ost</t>
  </si>
  <si>
    <t>Steckdose Nord (bei Küche)</t>
  </si>
  <si>
    <t>Steckdosen Küche</t>
  </si>
  <si>
    <t>5x2,5</t>
  </si>
  <si>
    <t>FI-Schalter</t>
  </si>
  <si>
    <t>Netzwerks./KNX-Netzteil</t>
  </si>
  <si>
    <t>Sicherungskasten Bestückung</t>
  </si>
  <si>
    <t>5x1,5:</t>
  </si>
  <si>
    <t>3x1,5:</t>
  </si>
  <si>
    <t>7x1,5:</t>
  </si>
  <si>
    <t>5x2,5:</t>
  </si>
  <si>
    <t>FI4</t>
  </si>
  <si>
    <t>Summe:</t>
  </si>
  <si>
    <t>Steckdose Licht Herdplatte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</si>
</sst>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  <numFmt numFmtId="166" formatCode="&quot;F&quot;0"/>
    <numFmt numFmtId="167" formatCode="&quot;FI&quot;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75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2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8" xfId="0" applyFill="1" applyBorder="1"/>
    <xf numFmtId="0" fontId="0" fillId="0" borderId="0" xfId="0" applyFill="1" applyAlignment="1"/>
    <xf numFmtId="0" fontId="7" fillId="3" borderId="13" xfId="0" applyFont="1" applyFill="1" applyBorder="1" applyAlignment="1">
      <alignment horizontal="center"/>
    </xf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3" borderId="16" xfId="0" applyFill="1" applyBorder="1" applyAlignment="1"/>
    <xf numFmtId="0" fontId="0" fillId="3" borderId="4" xfId="0" applyFill="1" applyBorder="1" applyAlignment="1"/>
    <xf numFmtId="0" fontId="0" fillId="0" borderId="11" xfId="0" applyFill="1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/>
    <xf numFmtId="166" fontId="0" fillId="0" borderId="0" xfId="0" applyNumberFormat="1"/>
    <xf numFmtId="166" fontId="0" fillId="0" borderId="14" xfId="0" applyNumberForma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13" xfId="0" applyFill="1" applyBorder="1"/>
    <xf numFmtId="166" fontId="0" fillId="3" borderId="14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12" xfId="0" applyFill="1" applyBorder="1"/>
    <xf numFmtId="0" fontId="0" fillId="3" borderId="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66" fontId="0" fillId="3" borderId="7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 vertical="center"/>
    </xf>
    <xf numFmtId="0" fontId="0" fillId="0" borderId="0" xfId="0" applyAlignment="1"/>
    <xf numFmtId="0" fontId="0" fillId="3" borderId="10" xfId="0" applyFill="1" applyBorder="1" applyAlignment="1"/>
    <xf numFmtId="0" fontId="0" fillId="3" borderId="10" xfId="0" applyFill="1" applyBorder="1" applyAlignment="1">
      <alignment vertical="center"/>
    </xf>
    <xf numFmtId="0" fontId="0" fillId="0" borderId="11" xfId="0" applyBorder="1" applyAlignment="1"/>
    <xf numFmtId="0" fontId="0" fillId="3" borderId="12" xfId="0" applyFill="1" applyBorder="1" applyAlignment="1"/>
    <xf numFmtId="0" fontId="0" fillId="0" borderId="10" xfId="0" applyBorder="1" applyAlignment="1"/>
    <xf numFmtId="0" fontId="0" fillId="3" borderId="8" xfId="0" applyFill="1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166" fontId="0" fillId="0" borderId="1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166" fontId="0" fillId="3" borderId="15" xfId="0" applyNumberFormat="1" applyFill="1" applyBorder="1" applyAlignment="1">
      <alignment horizontal="center" vertical="center"/>
    </xf>
    <xf numFmtId="0" fontId="0" fillId="3" borderId="9" xfId="0" applyFill="1" applyBorder="1"/>
    <xf numFmtId="0" fontId="0" fillId="3" borderId="15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5" borderId="10" xfId="0" applyFill="1" applyBorder="1"/>
    <xf numFmtId="0" fontId="0" fillId="5" borderId="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3" borderId="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center"/>
    </xf>
    <xf numFmtId="49" fontId="0" fillId="0" borderId="17" xfId="0" applyNumberFormat="1" applyFont="1" applyBorder="1"/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8" fillId="3" borderId="8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1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166" fontId="0" fillId="3" borderId="14" xfId="0" applyNumberFormat="1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6" fontId="0" fillId="0" borderId="14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top"/>
    </xf>
    <xf numFmtId="0" fontId="0" fillId="0" borderId="14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3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6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166" fontId="0" fillId="3" borderId="15" xfId="0" applyNumberFormat="1" applyFill="1" applyBorder="1" applyAlignment="1">
      <alignment horizontal="center" vertical="center"/>
    </xf>
    <xf numFmtId="166" fontId="0" fillId="0" borderId="16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</cellXfs>
  <cellStyles count="3">
    <cellStyle name="Link" xfId="2" builtinId="8"/>
    <cellStyle name="Standard" xfId="0" builtinId="0"/>
    <cellStyle name="Währung" xfId="1" builtinId="4"/>
  </cellStyles>
  <dxfs count="38"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numFmt numFmtId="34" formatCode="_-* #,##0.00\ &quot;€&quot;_-;\-* #,##0.00\ &quot;€&quot;_-;_-* &quot;-&quot;??\ &quot;€&quot;_-;_-@_-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166" formatCode="&quot;F&quot;0"/>
      <alignment horizontal="left" vertical="bottom" textRotation="0" wrapText="0" indent="0" justifyLastLine="0" shrinkToFit="0" readingOrder="0"/>
    </dxf>
    <dxf>
      <numFmt numFmtId="167" formatCode="&quot;FI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37">
  <autoFilter ref="A4:T20" xr:uid="{96AC54A7-3AF8-4232-A7CA-7456C1206A29}">
    <filterColumn colId="8">
      <filters>
        <filter val="Tür"/>
      </filters>
    </filterColumn>
  </autoFilter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36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35">
      <calculatedColumnFormula>Tabelle1[[#This Row],[TE]]*SUM(Tabelle1[[#This Row],[Küche]:[Klo]])</calculatedColumnFormula>
    </tableColumn>
    <tableColumn id="7" xr3:uid="{0CA81A17-BA15-4983-A8A2-0242A8B6B19B}" name="Herstellernummer" dataDxfId="34"/>
    <tableColumn id="4" xr3:uid="{4718EDFC-681A-42DA-B15F-DB810E8C969C}" name="Preis" dataCellStyle="Währung"/>
    <tableColumn id="3" xr3:uid="{4FF9F7BA-61AC-46A6-97D4-0F99D7290E70}" name="Preis/Kanal" dataDxfId="33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32"/>
    <tableColumn id="9" xr3:uid="{71B99BB4-E121-4AC6-B2CC-B8283468FBBB}" name="Esszimmer" dataDxfId="31"/>
    <tableColumn id="10" xr3:uid="{E4662B22-8FAD-414C-AAE6-B24E2CAB28D4}" name="Wohnzimmer" dataDxfId="30"/>
    <tableColumn id="11" xr3:uid="{204170EB-6A51-4091-9F43-2BB5DD265154}" name="Speis" dataDxfId="29"/>
    <tableColumn id="12" xr3:uid="{18FF780B-8CBB-488D-B52A-5E6374864CB2}" name="Bad" dataDxfId="28"/>
    <tableColumn id="13" xr3:uid="{57EE2B1E-BB13-46B9-B6BC-CF4F5FCCDB66}" name="Gang" dataDxfId="27"/>
    <tableColumn id="14" xr3:uid="{E92F9A3C-E1C5-4882-916E-DA389241E99B}" name="Schalafzimmer" dataDxfId="26"/>
    <tableColumn id="15" xr3:uid="{3799BA4D-FAD2-475F-B312-0E659992795D}" name="Klo" dataDxfId="25"/>
    <tableColumn id="17" xr3:uid="{17A122D9-4F1D-40D7-A3F8-16439D99B479}" name="KNX-fähig"/>
    <tableColumn id="6" xr3:uid="{12170A0C-6A62-4A83-B4B9-2C3B5CC64F58}" name="Menge KNX-Geräte" dataDxfId="24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23" totalsRowDxfId="6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22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/>
    <tableColumn id="3" xr3:uid="{0CC211E9-3E8B-4225-8060-D732679A1D25}" name="Esszimmer"/>
    <tableColumn id="4" xr3:uid="{B0776194-2185-4A16-BB15-3EBC5FD9646A}" name="Wohnzimmer"/>
    <tableColumn id="5" xr3:uid="{8C8ADB2C-52AC-486F-9B7F-0CE92A14546B}" name="Speis"/>
    <tableColumn id="6" xr3:uid="{37719EDB-C601-4604-9CE6-3E19F4DC3B38}" name="Bad"/>
    <tableColumn id="7" xr3:uid="{07E1B0C6-C411-4574-8D01-297094ADFF8E}" name="Gang"/>
    <tableColumn id="8" xr3:uid="{523F6610-FD02-45F2-B727-E43C97AB7701}" name="Schalafzimmer"/>
    <tableColumn id="9" xr3:uid="{439EBBEB-C21F-4366-B359-B750404A6C1C}" name="Klo"/>
    <tableColumn id="11" xr3:uid="{21D0A73C-1259-4B5E-9160-E7893ABAD12E}" name="Hof"/>
    <tableColumn id="10" xr3:uid="{3550BC49-49F6-41E8-A343-46EDD7312783}" name="Summe" dataDxfId="21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4">
  <autoFilter ref="A1:F4" xr:uid="{2EE5AB28-B397-43CB-900D-A5B522ECDF9C}"/>
  <tableColumns count="6">
    <tableColumn id="1" xr3:uid="{4DA6D9DF-2A14-4891-9CC3-08E42535F812}" name="Datum" totalsRowLabel="Ergebnis"/>
    <tableColumn id="2" xr3:uid="{A2802040-74DD-489D-83C4-558D72967D5F}" name="Händler" dataDxfId="20"/>
    <tableColumn id="6" xr3:uid="{5EE9FC28-C66B-4A96-9BA9-8280EC2E6589}" name="Kategorie" dataDxfId="19"/>
    <tableColumn id="3" xr3:uid="{BD741B7D-FC24-407C-91C4-67731AA078DF}" name="Beschreibung" dataDxfId="18"/>
    <tableColumn id="4" xr3:uid="{A87B7F3E-D2EF-4CAF-A80F-6E407E6EC1B1}" name="Konto" dataDxfId="17"/>
    <tableColumn id="5" xr3:uid="{82BE7E6D-F523-4932-9103-8E1EB61BB46A}" name="Betrag" dataDxfId="1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4:B20" totalsRowShown="0" tableBorderDxfId="15">
  <autoFilter ref="A4:B20" xr:uid="{8D3440E7-7103-4E13-938B-6563FE17ADEB}">
    <filterColumn colId="0" hiddenButton="1"/>
    <filterColumn colId="1" hiddenButton="1"/>
  </autoFilter>
  <tableColumns count="2">
    <tableColumn id="1" xr3:uid="{889BB60A-C5CD-4C50-8C4D-B8EA00865712}" name="Sicherung" dataDxfId="14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A22:B24" totalsRowShown="0">
  <autoFilter ref="A22:B24" xr:uid="{0603E42E-2BDC-41BB-BA9B-443E8715DAB2}">
    <filterColumn colId="0" hiddenButton="1"/>
    <filterColumn colId="1" hiddenButton="1"/>
  </autoFilter>
  <tableColumns count="2">
    <tableColumn id="1" xr3:uid="{C75C45D7-6E82-47C1-9D22-8DC8526DC380}" name="FI-Schalter" dataDxfId="13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A26:B29" totalsRowShown="0">
  <autoFilter ref="A26:B29" xr:uid="{55BA6280-5B48-46A6-9CC2-9B528A4C333C}">
    <filterColumn colId="0" hiddenButton="1"/>
    <filterColumn colId="1" hiddenButton="1"/>
  </autoFilter>
  <tableColumns count="2">
    <tableColumn id="1" xr3:uid="{29C5F34A-2EE8-4911-8154-58ECE7697A9F}" name="FI-LS-Kombi" dataDxfId="12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32:C50" totalsRowCount="1" headerRowDxfId="11" headerRowBorderDxfId="10" tableBorderDxfId="9">
  <autoFilter ref="A32:C49" xr:uid="{9E4B1A0D-90F0-4924-B3E2-B58FE9303BFF}">
    <filterColumn colId="0" hiddenButton="1"/>
    <filterColumn colId="1" hiddenButton="1"/>
    <filterColumn colId="2" hiddenButton="1"/>
  </autoFilter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8" totalsRowDxfId="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zoomScaleNormal="100" workbookViewId="0">
      <selection activeCell="H26" sqref="H26"/>
    </sheetView>
  </sheetViews>
  <sheetFormatPr baseColWidth="10" defaultRowHeight="15" outlineLevelCol="2" x14ac:dyDescent="0.25"/>
  <cols>
    <col min="1" max="1" width="33.85546875" bestFit="1" customWidth="1"/>
    <col min="2" max="3" width="6" hidden="1" customWidth="1" outlineLevel="2"/>
    <col min="4" max="5" width="5.28515625" hidden="1" customWidth="1" outlineLevel="2"/>
    <col min="6" max="6" width="71.85546875" customWidth="1" outlineLevel="1" collapsed="1"/>
    <col min="7" max="7" width="9.42578125" customWidth="1" outlineLevel="1"/>
    <col min="8" max="8" width="9.42578125" bestFit="1" customWidth="1" outlineLevel="1"/>
    <col min="9" max="9" width="8.140625" bestFit="1" customWidth="1"/>
    <col min="10" max="17" width="6" hidden="1" customWidth="1" outlineLevel="1"/>
    <col min="18" max="18" width="6" bestFit="1" customWidth="1" collapsed="1"/>
    <col min="19" max="19" width="9.5703125" bestFit="1" customWidth="1"/>
    <col min="20" max="20" width="11" bestFit="1" customWidth="1"/>
    <col min="21" max="21" width="26.7109375" bestFit="1" customWidth="1"/>
    <col min="22" max="22" width="11" bestFit="1" customWidth="1"/>
  </cols>
  <sheetData>
    <row r="1" spans="1:20" x14ac:dyDescent="0.25">
      <c r="A1" s="119" t="s">
        <v>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</row>
    <row r="2" spans="1:20" x14ac:dyDescent="0.25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</row>
    <row r="4" spans="1:20" s="3" customFormat="1" ht="82.5" x14ac:dyDescent="0.25">
      <c r="A4" s="3" t="s">
        <v>1</v>
      </c>
      <c r="B4" s="16" t="s">
        <v>56</v>
      </c>
      <c r="C4" s="16" t="s">
        <v>57</v>
      </c>
      <c r="D4" s="16" t="s">
        <v>48</v>
      </c>
      <c r="E4" s="16" t="s">
        <v>52</v>
      </c>
      <c r="F4" s="3" t="s">
        <v>4</v>
      </c>
      <c r="G4" s="4" t="s">
        <v>2</v>
      </c>
      <c r="H4" s="4" t="s">
        <v>124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hidden="1" x14ac:dyDescent="0.25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1">
        <v>1</v>
      </c>
      <c r="K5" s="11"/>
      <c r="L5" s="11">
        <v>1</v>
      </c>
      <c r="M5" s="11"/>
      <c r="N5" s="11"/>
      <c r="O5" s="11"/>
      <c r="P5" s="11">
        <v>2</v>
      </c>
      <c r="Q5" s="11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hidden="1" x14ac:dyDescent="0.25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1"/>
      <c r="K6" s="11"/>
      <c r="L6" s="11"/>
      <c r="M6" s="11"/>
      <c r="N6" s="11"/>
      <c r="O6" s="11">
        <v>1</v>
      </c>
      <c r="P6" s="11"/>
      <c r="Q6" s="11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hidden="1" x14ac:dyDescent="0.25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1"/>
      <c r="K7" s="11"/>
      <c r="L7" s="11"/>
      <c r="M7" s="11"/>
      <c r="N7" s="11"/>
      <c r="O7" s="11">
        <v>1</v>
      </c>
      <c r="P7" s="11"/>
      <c r="Q7" s="11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hidden="1" x14ac:dyDescent="0.25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1"/>
      <c r="K8" s="11"/>
      <c r="L8" s="11"/>
      <c r="M8" s="11"/>
      <c r="N8" s="11"/>
      <c r="O8" s="11">
        <v>1</v>
      </c>
      <c r="P8" s="11"/>
      <c r="Q8" s="11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hidden="1" x14ac:dyDescent="0.25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1"/>
      <c r="K9" s="11"/>
      <c r="L9" s="11"/>
      <c r="M9" s="11"/>
      <c r="N9" s="11"/>
      <c r="O9" s="11">
        <v>1</v>
      </c>
      <c r="P9" s="11"/>
      <c r="Q9" s="11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x14ac:dyDescent="0.25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1"/>
      <c r="K10" s="11"/>
      <c r="L10" s="11"/>
      <c r="M10" s="11"/>
      <c r="N10" s="11"/>
      <c r="O10" s="11">
        <v>1</v>
      </c>
      <c r="P10" s="11"/>
      <c r="Q10" s="11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x14ac:dyDescent="0.25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1"/>
      <c r="K11" s="11"/>
      <c r="L11" s="11"/>
      <c r="M11" s="11"/>
      <c r="N11" s="11"/>
      <c r="O11" s="11">
        <v>1</v>
      </c>
      <c r="P11" s="11"/>
      <c r="Q11" s="11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x14ac:dyDescent="0.25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1"/>
      <c r="K12" s="11"/>
      <c r="L12" s="11"/>
      <c r="M12" s="11"/>
      <c r="N12" s="11"/>
      <c r="O12" s="11">
        <v>2</v>
      </c>
      <c r="P12" s="11"/>
      <c r="Q12" s="11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hidden="1" x14ac:dyDescent="0.25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1"/>
      <c r="K13" s="11"/>
      <c r="L13" s="11"/>
      <c r="M13" s="11"/>
      <c r="N13" s="11"/>
      <c r="O13" s="11">
        <v>1</v>
      </c>
      <c r="P13" s="11"/>
      <c r="Q13" s="11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hidden="1" x14ac:dyDescent="0.25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1"/>
      <c r="K14" s="11">
        <v>1</v>
      </c>
      <c r="L14" s="11">
        <v>1</v>
      </c>
      <c r="M14" s="11"/>
      <c r="N14" s="11">
        <v>1</v>
      </c>
      <c r="O14" s="11"/>
      <c r="P14" s="11">
        <v>1</v>
      </c>
      <c r="Q14" s="11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hidden="1" x14ac:dyDescent="0.25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1"/>
      <c r="K15" s="11"/>
      <c r="L15" s="11"/>
      <c r="M15" s="11"/>
      <c r="N15" s="11"/>
      <c r="O15" s="11">
        <v>1</v>
      </c>
      <c r="P15" s="11"/>
      <c r="Q15" s="11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hidden="1" x14ac:dyDescent="0.25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1"/>
      <c r="K16" s="11"/>
      <c r="L16" s="11"/>
      <c r="M16" s="11"/>
      <c r="N16" s="11"/>
      <c r="O16" s="11">
        <v>1</v>
      </c>
      <c r="P16" s="11"/>
      <c r="Q16" s="11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hidden="1" x14ac:dyDescent="0.25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1"/>
      <c r="K17" s="11">
        <v>1</v>
      </c>
      <c r="L17" s="11">
        <v>1</v>
      </c>
      <c r="M17" s="11"/>
      <c r="N17" s="11">
        <v>1</v>
      </c>
      <c r="O17" s="11">
        <v>1</v>
      </c>
      <c r="P17" s="11">
        <v>1</v>
      </c>
      <c r="Q17" s="11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hidden="1" x14ac:dyDescent="0.25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125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1"/>
      <c r="K18" s="11"/>
      <c r="L18" s="11"/>
      <c r="M18" s="11"/>
      <c r="N18" s="11"/>
      <c r="O18" s="11">
        <v>1</v>
      </c>
      <c r="P18" s="11"/>
      <c r="Q18" s="11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hidden="1" x14ac:dyDescent="0.25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1"/>
      <c r="K19" s="11"/>
      <c r="L19" s="11"/>
      <c r="M19" s="11"/>
      <c r="N19" s="11"/>
      <c r="O19" s="11">
        <v>1</v>
      </c>
      <c r="P19" s="11"/>
      <c r="Q19" s="11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hidden="1" x14ac:dyDescent="0.25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1"/>
      <c r="K20" s="11"/>
      <c r="L20" s="11"/>
      <c r="M20" s="11"/>
      <c r="N20" s="11"/>
      <c r="O20" s="11">
        <v>1</v>
      </c>
      <c r="P20" s="11"/>
      <c r="Q20" s="11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.75" thickBot="1" x14ac:dyDescent="0.3">
      <c r="T21" s="20">
        <f>SUBTOTAL(109,Tabelle1[Endpreis])</f>
        <v>1684.3600000000001</v>
      </c>
    </row>
    <row r="22" spans="1:22" x14ac:dyDescent="0.25">
      <c r="U22" s="12" t="s">
        <v>53</v>
      </c>
      <c r="V22" s="19">
        <f>SUBTOTAL(109,Tabelle1[Menge KNX-Geräte])</f>
        <v>1</v>
      </c>
    </row>
    <row r="23" spans="1:22" ht="15.75" thickBot="1" x14ac:dyDescent="0.3">
      <c r="U23" s="14" t="s">
        <v>54</v>
      </c>
      <c r="V23" s="15">
        <f>SUBTOTAL(109,Tabelle1[Platzbedarf])</f>
        <v>5</v>
      </c>
    </row>
    <row r="24" spans="1:22" x14ac:dyDescent="0.25">
      <c r="U24" s="12" t="s">
        <v>50</v>
      </c>
      <c r="V24" s="13">
        <f>Schaltstellen!K3+Schaltstellen!K5+Schaltstellen!K6*2</f>
        <v>28</v>
      </c>
    </row>
    <row r="25" spans="1:22" ht="15.75" thickBot="1" x14ac:dyDescent="0.3">
      <c r="U25" s="14" t="s">
        <v>51</v>
      </c>
      <c r="V25" s="15">
        <f>Schaltstellen!K4</f>
        <v>3</v>
      </c>
    </row>
  </sheetData>
  <mergeCells count="1">
    <mergeCell ref="A1:T2"/>
  </mergeCells>
  <phoneticPr fontId="3" type="noConversion"/>
  <conditionalFormatting sqref="U22:V22">
    <cfRule type="cellIs" dxfId="5" priority="6" operator="between">
      <formula>21</formula>
      <formula>10000</formula>
    </cfRule>
  </conditionalFormatting>
  <conditionalFormatting sqref="V24">
    <cfRule type="cellIs" dxfId="4" priority="3" operator="lessThanOrEqual">
      <formula>$C$19+$C$18</formula>
    </cfRule>
    <cfRule type="cellIs" dxfId="3" priority="5" operator="greaterThan">
      <formula>$C$19+$C$18</formula>
    </cfRule>
  </conditionalFormatting>
  <conditionalFormatting sqref="V25">
    <cfRule type="cellIs" dxfId="2" priority="2" operator="lessThanOrEqual">
      <formula>$C$8</formula>
    </cfRule>
    <cfRule type="cellIs" dxfId="1" priority="4" operator="greaterThan">
      <formula>$C$8</formula>
    </cfRule>
  </conditionalFormatting>
  <conditionalFormatting sqref="V22">
    <cfRule type="cellIs" dxfId="0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H3" sqref="H3"/>
    </sheetView>
  </sheetViews>
  <sheetFormatPr baseColWidth="10" defaultRowHeight="15" x14ac:dyDescent="0.25"/>
  <cols>
    <col min="1" max="1" width="17.5703125" bestFit="1" customWidth="1"/>
    <col min="2" max="9" width="6" bestFit="1" customWidth="1"/>
    <col min="10" max="10" width="6" customWidth="1"/>
    <col min="11" max="11" width="6" bestFit="1" customWidth="1"/>
    <col min="14" max="14" width="22.7109375" bestFit="1" customWidth="1"/>
  </cols>
  <sheetData>
    <row r="2" spans="1:11" ht="73.5" x14ac:dyDescent="0.25">
      <c r="A2" s="17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8" t="s">
        <v>58</v>
      </c>
      <c r="K2" s="6" t="s">
        <v>36</v>
      </c>
    </row>
    <row r="3" spans="1:11" x14ac:dyDescent="0.25">
      <c r="A3" t="s">
        <v>33</v>
      </c>
      <c r="B3">
        <v>2</v>
      </c>
      <c r="C3">
        <v>2</v>
      </c>
      <c r="D3">
        <v>2</v>
      </c>
      <c r="F3">
        <v>1</v>
      </c>
      <c r="G3">
        <v>1</v>
      </c>
      <c r="H3">
        <v>2</v>
      </c>
      <c r="J3">
        <v>1</v>
      </c>
      <c r="K3">
        <f>SUM(Tabelle2[[#This Row],[Küche]:[Hof]])</f>
        <v>11</v>
      </c>
    </row>
    <row r="4" spans="1:11" x14ac:dyDescent="0.25">
      <c r="A4" t="s">
        <v>34</v>
      </c>
      <c r="D4">
        <v>1</v>
      </c>
      <c r="F4">
        <v>1</v>
      </c>
      <c r="H4">
        <v>1</v>
      </c>
      <c r="K4">
        <f>SUM(Tabelle2[[#This Row],[Küche]:[Hof]])</f>
        <v>3</v>
      </c>
    </row>
    <row r="5" spans="1:11" x14ac:dyDescent="0.25">
      <c r="A5" t="s">
        <v>35</v>
      </c>
      <c r="B5">
        <v>1</v>
      </c>
      <c r="C5">
        <v>3</v>
      </c>
      <c r="D5">
        <v>2</v>
      </c>
      <c r="H5">
        <v>1</v>
      </c>
      <c r="K5">
        <f>SUM(Tabelle2[[#This Row],[Küche]:[Hof]])</f>
        <v>7</v>
      </c>
    </row>
    <row r="6" spans="1:11" x14ac:dyDescent="0.25">
      <c r="A6" t="s">
        <v>49</v>
      </c>
      <c r="B6">
        <v>1</v>
      </c>
      <c r="C6">
        <v>2</v>
      </c>
      <c r="D6">
        <v>1</v>
      </c>
      <c r="H6">
        <v>1</v>
      </c>
      <c r="K6" s="10">
        <f>SUM(Tabelle2[[#This Row],[Küche]:[Hof]])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H4"/>
  <sheetViews>
    <sheetView workbookViewId="0">
      <selection activeCell="H9" sqref="H9"/>
    </sheetView>
  </sheetViews>
  <sheetFormatPr baseColWidth="10" defaultRowHeight="15" x14ac:dyDescent="0.25"/>
  <cols>
    <col min="1" max="1" width="10.140625" bestFit="1" customWidth="1"/>
    <col min="2" max="2" width="13" bestFit="1" customWidth="1"/>
    <col min="3" max="3" width="13" customWidth="1"/>
    <col min="4" max="4" width="31.7109375" bestFit="1" customWidth="1"/>
    <col min="5" max="5" width="13.7109375" bestFit="1" customWidth="1"/>
    <col min="6" max="6" width="9.42578125" bestFit="1" customWidth="1"/>
  </cols>
  <sheetData>
    <row r="1" spans="1:8" x14ac:dyDescent="0.25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8" x14ac:dyDescent="0.25">
      <c r="A2" s="21">
        <v>44168</v>
      </c>
      <c r="B2" s="23" t="s">
        <v>71</v>
      </c>
      <c r="C2" s="23" t="s">
        <v>74</v>
      </c>
      <c r="D2" s="23" t="s">
        <v>72</v>
      </c>
      <c r="E2" s="23" t="s">
        <v>73</v>
      </c>
      <c r="F2" s="22">
        <v>296.82</v>
      </c>
    </row>
    <row r="3" spans="1:8" x14ac:dyDescent="0.25">
      <c r="A3" s="21">
        <v>44181</v>
      </c>
      <c r="B3" s="23" t="s">
        <v>112</v>
      </c>
      <c r="C3" s="23" t="s">
        <v>74</v>
      </c>
      <c r="D3" s="23" t="s">
        <v>113</v>
      </c>
      <c r="E3" s="23" t="s">
        <v>73</v>
      </c>
      <c r="F3" s="22">
        <v>52.46</v>
      </c>
      <c r="H3" s="118" t="s">
        <v>191</v>
      </c>
    </row>
    <row r="4" spans="1:8" x14ac:dyDescent="0.25">
      <c r="A4" s="21">
        <v>44183</v>
      </c>
      <c r="B4" s="23" t="s">
        <v>167</v>
      </c>
      <c r="C4" s="23" t="s">
        <v>168</v>
      </c>
      <c r="D4" s="23" t="s">
        <v>169</v>
      </c>
      <c r="E4" s="23" t="s">
        <v>73</v>
      </c>
      <c r="F4" s="22">
        <v>255.49</v>
      </c>
      <c r="H4" s="118">
        <f>SUBTOTAL(109,Tabelle3[Betrag])</f>
        <v>604.77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C51"/>
  <sheetViews>
    <sheetView topLeftCell="A31" zoomScaleNormal="100" workbookViewId="0">
      <selection activeCell="AA41" sqref="AA41"/>
    </sheetView>
  </sheetViews>
  <sheetFormatPr baseColWidth="10" defaultRowHeight="15" x14ac:dyDescent="0.25"/>
  <cols>
    <col min="1" max="1" width="11.28515625" customWidth="1"/>
    <col min="2" max="2" width="24.5703125" customWidth="1"/>
    <col min="3" max="3" width="3.140625" bestFit="1" customWidth="1"/>
    <col min="4" max="4" width="4" style="11" customWidth="1"/>
    <col min="5" max="29" width="2.140625" customWidth="1"/>
  </cols>
  <sheetData>
    <row r="1" spans="1:29" ht="19.5" thickBot="1" x14ac:dyDescent="0.3">
      <c r="A1" s="133" t="s">
        <v>185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5"/>
    </row>
    <row r="2" spans="1:29" ht="6.6" customHeight="1" thickBot="1" x14ac:dyDescent="0.3">
      <c r="E2" s="123">
        <v>1</v>
      </c>
      <c r="J2" s="123">
        <v>6</v>
      </c>
      <c r="P2" s="123">
        <v>12</v>
      </c>
      <c r="R2" s="123">
        <v>13</v>
      </c>
      <c r="X2" s="123">
        <v>19</v>
      </c>
      <c r="AC2" s="123">
        <v>24</v>
      </c>
    </row>
    <row r="3" spans="1:29" ht="15.75" thickBot="1" x14ac:dyDescent="0.3">
      <c r="A3" s="120" t="s">
        <v>156</v>
      </c>
      <c r="B3" s="122"/>
      <c r="C3" s="37"/>
      <c r="E3" s="124"/>
      <c r="J3" s="124"/>
      <c r="P3" s="124"/>
      <c r="R3" s="124"/>
      <c r="X3" s="124"/>
      <c r="AC3" s="124"/>
    </row>
    <row r="4" spans="1:29" ht="15.75" thickBot="1" x14ac:dyDescent="0.3">
      <c r="A4" s="26" t="s">
        <v>80</v>
      </c>
      <c r="B4" s="26" t="s">
        <v>126</v>
      </c>
      <c r="E4" s="12"/>
      <c r="F4" s="29"/>
      <c r="G4" s="29"/>
      <c r="H4" s="29"/>
      <c r="I4" s="29"/>
      <c r="J4" s="29"/>
      <c r="K4" s="29"/>
      <c r="L4" s="29"/>
      <c r="M4" s="29"/>
      <c r="N4" s="29"/>
      <c r="O4" s="29"/>
      <c r="P4" s="13"/>
      <c r="R4" s="12"/>
      <c r="S4" s="29"/>
      <c r="T4" s="29"/>
      <c r="U4" s="29"/>
      <c r="V4" s="29"/>
      <c r="W4" s="29"/>
      <c r="X4" s="29"/>
      <c r="Y4" s="29"/>
      <c r="Z4" s="29"/>
      <c r="AA4" s="29"/>
      <c r="AB4" s="29"/>
      <c r="AC4" s="13"/>
    </row>
    <row r="5" spans="1:29" ht="15.75" thickBot="1" x14ac:dyDescent="0.3">
      <c r="A5" s="96">
        <v>1</v>
      </c>
      <c r="B5" s="29" t="s">
        <v>145</v>
      </c>
      <c r="C5" s="26"/>
      <c r="E5" s="24"/>
      <c r="F5" s="26"/>
      <c r="G5" s="26"/>
      <c r="H5" s="26"/>
      <c r="I5" s="26"/>
      <c r="J5" s="26"/>
      <c r="K5" s="26"/>
      <c r="L5" s="26"/>
      <c r="M5" s="26"/>
      <c r="N5" s="26"/>
      <c r="O5" s="26"/>
      <c r="P5" s="25"/>
      <c r="R5" s="24"/>
      <c r="S5" s="26"/>
      <c r="T5" s="26"/>
      <c r="U5" s="26"/>
      <c r="V5" s="26"/>
      <c r="W5" s="26"/>
      <c r="X5" s="26"/>
      <c r="Y5" s="26"/>
      <c r="Z5" s="26"/>
      <c r="AA5" s="26"/>
      <c r="AB5" s="26"/>
      <c r="AC5" s="25"/>
    </row>
    <row r="6" spans="1:29" ht="15.75" thickBot="1" x14ac:dyDescent="0.3">
      <c r="A6" s="97">
        <v>2</v>
      </c>
      <c r="B6" s="26" t="s">
        <v>132</v>
      </c>
      <c r="C6" s="26"/>
      <c r="D6" s="11">
        <v>1</v>
      </c>
      <c r="E6" s="125" t="s">
        <v>152</v>
      </c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6"/>
      <c r="R6" s="125" t="s">
        <v>154</v>
      </c>
      <c r="S6" s="127"/>
      <c r="T6" s="127"/>
      <c r="U6" s="127"/>
      <c r="V6" s="127"/>
      <c r="W6" s="126"/>
      <c r="X6" s="125" t="s">
        <v>155</v>
      </c>
      <c r="Y6" s="127"/>
      <c r="Z6" s="127"/>
      <c r="AA6" s="127"/>
      <c r="AB6" s="127"/>
      <c r="AC6" s="126"/>
    </row>
    <row r="7" spans="1:29" x14ac:dyDescent="0.25">
      <c r="A7" s="97">
        <v>3</v>
      </c>
      <c r="B7" s="26" t="s">
        <v>137</v>
      </c>
      <c r="C7" s="26"/>
      <c r="E7" s="24"/>
      <c r="F7" s="26"/>
      <c r="G7" s="26"/>
      <c r="H7" s="26"/>
      <c r="I7" s="26"/>
      <c r="J7" s="26"/>
      <c r="K7" s="26"/>
      <c r="L7" s="26"/>
      <c r="M7" s="26"/>
      <c r="N7" s="26"/>
      <c r="O7" s="26"/>
      <c r="P7" s="25"/>
      <c r="R7" s="24"/>
      <c r="S7" s="26"/>
      <c r="T7" s="26"/>
      <c r="U7" s="26"/>
      <c r="V7" s="26"/>
      <c r="W7" s="26"/>
      <c r="X7" s="26"/>
      <c r="Y7" s="26"/>
      <c r="Z7" s="26"/>
      <c r="AA7" s="26"/>
      <c r="AB7" s="26"/>
      <c r="AC7" s="25"/>
    </row>
    <row r="8" spans="1:29" ht="15.75" thickBot="1" x14ac:dyDescent="0.3">
      <c r="A8" s="97">
        <v>4</v>
      </c>
      <c r="B8" s="26" t="s">
        <v>135</v>
      </c>
      <c r="C8" s="26"/>
      <c r="E8" s="24"/>
      <c r="F8" s="26"/>
      <c r="G8" s="26"/>
      <c r="H8" s="26"/>
      <c r="I8" s="26"/>
      <c r="J8" s="26"/>
      <c r="K8" s="26"/>
      <c r="L8" s="26"/>
      <c r="M8" s="26"/>
      <c r="N8" s="26"/>
      <c r="O8" s="26"/>
      <c r="P8" s="25"/>
      <c r="R8" s="24"/>
      <c r="S8" s="26"/>
      <c r="T8" s="26"/>
      <c r="U8" s="26"/>
      <c r="V8" s="26"/>
      <c r="W8" s="26"/>
      <c r="X8" s="26"/>
      <c r="Y8" s="26"/>
      <c r="Z8" s="26"/>
      <c r="AA8" s="26"/>
      <c r="AB8" s="26"/>
      <c r="AC8" s="25"/>
    </row>
    <row r="9" spans="1:29" ht="15.75" thickBot="1" x14ac:dyDescent="0.3">
      <c r="A9" s="97">
        <v>5</v>
      </c>
      <c r="B9" s="26" t="s">
        <v>136</v>
      </c>
      <c r="C9" s="26"/>
      <c r="D9" s="11">
        <v>2</v>
      </c>
      <c r="E9" s="125" t="s">
        <v>152</v>
      </c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6"/>
      <c r="R9" s="125" t="s">
        <v>152</v>
      </c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6"/>
    </row>
    <row r="10" spans="1:29" x14ac:dyDescent="0.25">
      <c r="A10" s="97">
        <v>6</v>
      </c>
      <c r="B10" s="26" t="s">
        <v>138</v>
      </c>
      <c r="C10" s="26"/>
      <c r="E10" s="24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5"/>
      <c r="R10" s="24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5"/>
    </row>
    <row r="11" spans="1:29" ht="15.75" thickBot="1" x14ac:dyDescent="0.3">
      <c r="A11" s="97">
        <v>7</v>
      </c>
      <c r="B11" s="26" t="s">
        <v>88</v>
      </c>
      <c r="C11" s="26"/>
      <c r="E11" s="24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5"/>
      <c r="R11" s="24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5"/>
    </row>
    <row r="12" spans="1:29" ht="15.75" thickBot="1" x14ac:dyDescent="0.3">
      <c r="A12" s="98">
        <v>8</v>
      </c>
      <c r="B12" s="30" t="s">
        <v>134</v>
      </c>
      <c r="C12" s="26"/>
      <c r="D12" s="11">
        <v>3</v>
      </c>
      <c r="E12" s="125" t="s">
        <v>148</v>
      </c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6"/>
      <c r="R12" s="125" t="s">
        <v>121</v>
      </c>
      <c r="S12" s="127"/>
      <c r="T12" s="127"/>
      <c r="U12" s="126"/>
      <c r="V12" s="125" t="s">
        <v>146</v>
      </c>
      <c r="W12" s="127"/>
      <c r="X12" s="127"/>
      <c r="Y12" s="127"/>
      <c r="Z12" s="127"/>
      <c r="AA12" s="127"/>
      <c r="AB12" s="127"/>
      <c r="AC12" s="126"/>
    </row>
    <row r="13" spans="1:29" x14ac:dyDescent="0.25">
      <c r="A13" s="96">
        <v>9</v>
      </c>
      <c r="B13" s="29" t="s">
        <v>94</v>
      </c>
      <c r="C13" s="26"/>
      <c r="E13" s="24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5"/>
      <c r="R13" s="24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5"/>
    </row>
    <row r="14" spans="1:29" ht="15.75" thickBot="1" x14ac:dyDescent="0.3">
      <c r="A14" s="97">
        <v>10</v>
      </c>
      <c r="B14" s="26" t="s">
        <v>95</v>
      </c>
      <c r="C14" s="26"/>
      <c r="E14" s="24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5"/>
      <c r="R14" s="24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5"/>
    </row>
    <row r="15" spans="1:29" ht="15.75" thickBot="1" x14ac:dyDescent="0.3">
      <c r="A15" s="97">
        <v>11</v>
      </c>
      <c r="B15" s="26" t="s">
        <v>133</v>
      </c>
      <c r="C15" s="26"/>
      <c r="D15" s="11">
        <v>4</v>
      </c>
      <c r="E15" s="125" t="s">
        <v>151</v>
      </c>
      <c r="F15" s="127"/>
      <c r="G15" s="127"/>
      <c r="H15" s="126"/>
      <c r="I15" s="31"/>
      <c r="J15" s="31"/>
      <c r="K15" s="31"/>
      <c r="L15" s="31"/>
      <c r="M15" s="125" t="s">
        <v>149</v>
      </c>
      <c r="N15" s="127"/>
      <c r="O15" s="127"/>
      <c r="P15" s="126"/>
      <c r="R15" s="125" t="s">
        <v>122</v>
      </c>
      <c r="S15" s="127"/>
      <c r="T15" s="127"/>
      <c r="U15" s="126"/>
      <c r="V15" s="125" t="s">
        <v>147</v>
      </c>
      <c r="W15" s="127"/>
      <c r="X15" s="127"/>
      <c r="Y15" s="127"/>
      <c r="Z15" s="127"/>
      <c r="AA15" s="127"/>
      <c r="AB15" s="127"/>
      <c r="AC15" s="126"/>
    </row>
    <row r="16" spans="1:29" x14ac:dyDescent="0.25">
      <c r="A16" s="97">
        <v>12</v>
      </c>
      <c r="B16" s="26" t="s">
        <v>133</v>
      </c>
      <c r="C16" s="26"/>
      <c r="E16" s="24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5"/>
      <c r="R16" s="24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5"/>
    </row>
    <row r="17" spans="1:29" ht="15.75" thickBot="1" x14ac:dyDescent="0.3">
      <c r="A17" s="97">
        <v>13</v>
      </c>
      <c r="B17" s="26" t="s">
        <v>133</v>
      </c>
      <c r="C17" s="26"/>
      <c r="E17" s="24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5"/>
      <c r="R17" s="24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5"/>
    </row>
    <row r="18" spans="1:29" ht="15.75" thickBot="1" x14ac:dyDescent="0.3">
      <c r="A18" s="97">
        <v>14</v>
      </c>
      <c r="B18" s="26" t="s">
        <v>130</v>
      </c>
      <c r="C18" s="26"/>
      <c r="D18" s="11">
        <v>5</v>
      </c>
      <c r="E18" s="128" t="s">
        <v>15</v>
      </c>
      <c r="F18" s="129"/>
      <c r="G18" s="130"/>
      <c r="H18" s="31"/>
      <c r="I18" s="31"/>
      <c r="J18" s="31"/>
      <c r="K18" s="31"/>
      <c r="L18" s="31"/>
      <c r="M18" s="31"/>
      <c r="N18" s="31"/>
      <c r="O18" s="31"/>
      <c r="P18" s="28"/>
      <c r="R18" s="125" t="s">
        <v>108</v>
      </c>
      <c r="S18" s="126"/>
      <c r="T18" s="125" t="s">
        <v>109</v>
      </c>
      <c r="U18" s="126"/>
      <c r="V18" s="125" t="s">
        <v>110</v>
      </c>
      <c r="W18" s="126"/>
      <c r="X18" s="32"/>
      <c r="Y18" s="32"/>
      <c r="Z18" s="32"/>
      <c r="AA18" s="32"/>
      <c r="AB18" s="32"/>
      <c r="AC18" s="33"/>
    </row>
    <row r="19" spans="1:29" x14ac:dyDescent="0.25">
      <c r="A19" s="97">
        <v>15</v>
      </c>
      <c r="B19" s="26" t="s">
        <v>131</v>
      </c>
      <c r="C19" s="26"/>
      <c r="E19" s="24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5"/>
      <c r="R19" s="24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5"/>
    </row>
    <row r="20" spans="1:29" ht="15.75" thickBot="1" x14ac:dyDescent="0.3">
      <c r="A20" s="97">
        <v>16</v>
      </c>
      <c r="B20" s="26" t="s">
        <v>96</v>
      </c>
      <c r="C20" s="26"/>
      <c r="E20" s="24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5"/>
      <c r="R20" s="24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5"/>
    </row>
    <row r="21" spans="1:29" ht="15.75" thickBot="1" x14ac:dyDescent="0.3">
      <c r="D21" s="11">
        <v>6</v>
      </c>
      <c r="E21" s="131" t="s">
        <v>150</v>
      </c>
      <c r="F21" s="132"/>
      <c r="G21" s="125" t="s">
        <v>5</v>
      </c>
      <c r="H21" s="127"/>
      <c r="I21" s="127"/>
      <c r="J21" s="126"/>
      <c r="K21" s="27"/>
      <c r="L21" s="31"/>
      <c r="M21" s="31"/>
      <c r="N21" s="31"/>
      <c r="O21" s="125" t="s">
        <v>153</v>
      </c>
      <c r="P21" s="126"/>
      <c r="R21" s="34"/>
      <c r="S21" s="35"/>
      <c r="T21" s="35"/>
      <c r="U21" s="35"/>
      <c r="V21" s="35"/>
      <c r="W21" s="35"/>
      <c r="X21" s="31"/>
      <c r="Y21" s="31"/>
      <c r="Z21" s="31"/>
      <c r="AA21" s="31"/>
      <c r="AB21" s="31"/>
      <c r="AC21" s="28"/>
    </row>
    <row r="22" spans="1:29" x14ac:dyDescent="0.25">
      <c r="A22" t="s">
        <v>183</v>
      </c>
      <c r="B22" t="s">
        <v>114</v>
      </c>
      <c r="E22" s="24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5"/>
      <c r="R22" s="24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5"/>
    </row>
    <row r="23" spans="1:29" ht="15.75" thickBot="1" x14ac:dyDescent="0.3">
      <c r="A23" s="99">
        <v>1</v>
      </c>
      <c r="B23" t="s">
        <v>140</v>
      </c>
      <c r="E23" s="24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5"/>
      <c r="R23" s="24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5"/>
    </row>
    <row r="24" spans="1:29" ht="15.75" thickBot="1" x14ac:dyDescent="0.3">
      <c r="A24" s="99">
        <v>2</v>
      </c>
      <c r="B24" t="s">
        <v>141</v>
      </c>
      <c r="D24" s="11">
        <v>7</v>
      </c>
      <c r="E24" s="34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6"/>
      <c r="Q24" s="25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28"/>
    </row>
    <row r="25" spans="1:29" x14ac:dyDescent="0.25">
      <c r="E25" s="24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5"/>
      <c r="R25" s="24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5"/>
    </row>
    <row r="26" spans="1:29" ht="15.75" thickBot="1" x14ac:dyDescent="0.3">
      <c r="A26" t="s">
        <v>142</v>
      </c>
      <c r="B26" t="s">
        <v>143</v>
      </c>
      <c r="E26" s="14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15"/>
      <c r="R26" s="14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15"/>
    </row>
    <row r="27" spans="1:29" x14ac:dyDescent="0.25">
      <c r="A27" s="97">
        <v>17</v>
      </c>
      <c r="B27" t="s">
        <v>139</v>
      </c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</row>
    <row r="28" spans="1:29" x14ac:dyDescent="0.25">
      <c r="A28" s="97">
        <v>18</v>
      </c>
      <c r="B28" t="s">
        <v>184</v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</row>
    <row r="29" spans="1:29" x14ac:dyDescent="0.25">
      <c r="A29" s="97">
        <v>19</v>
      </c>
      <c r="B29" t="s">
        <v>144</v>
      </c>
    </row>
    <row r="30" spans="1:29" ht="11.25" customHeight="1" thickBot="1" x14ac:dyDescent="0.3">
      <c r="A30" s="97"/>
    </row>
    <row r="31" spans="1:29" ht="15.75" thickBot="1" x14ac:dyDescent="0.3">
      <c r="A31" s="120" t="s">
        <v>157</v>
      </c>
      <c r="B31" s="121"/>
      <c r="C31" s="122"/>
      <c r="E31" s="12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13"/>
    </row>
    <row r="32" spans="1:29" ht="15.75" thickBot="1" x14ac:dyDescent="0.3">
      <c r="A32" s="27" t="s">
        <v>80</v>
      </c>
      <c r="B32" s="31" t="s">
        <v>126</v>
      </c>
      <c r="C32" s="28" t="s">
        <v>48</v>
      </c>
      <c r="E32" s="24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5"/>
    </row>
    <row r="33" spans="1:18" ht="15.75" thickBot="1" x14ac:dyDescent="0.3">
      <c r="A33" s="40" t="s">
        <v>121</v>
      </c>
      <c r="B33" s="109" t="s">
        <v>119</v>
      </c>
      <c r="C33" s="41">
        <v>4</v>
      </c>
      <c r="E33" s="27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28"/>
      <c r="Q33" s="11">
        <v>1</v>
      </c>
    </row>
    <row r="34" spans="1:18" x14ac:dyDescent="0.25">
      <c r="A34" s="40" t="s">
        <v>101</v>
      </c>
      <c r="B34" s="110" t="s">
        <v>119</v>
      </c>
      <c r="C34" s="41">
        <v>1</v>
      </c>
      <c r="E34" s="24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5"/>
      <c r="Q34" s="11"/>
    </row>
    <row r="35" spans="1:18" ht="15.75" thickBot="1" x14ac:dyDescent="0.3">
      <c r="A35" s="40" t="s">
        <v>101</v>
      </c>
      <c r="B35" s="110" t="s">
        <v>119</v>
      </c>
      <c r="C35" s="41">
        <v>1</v>
      </c>
      <c r="E35" s="24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5"/>
      <c r="Q35" s="11"/>
    </row>
    <row r="36" spans="1:18" ht="15.75" thickBot="1" x14ac:dyDescent="0.3">
      <c r="A36" s="42" t="s">
        <v>101</v>
      </c>
      <c r="B36" s="111" t="s">
        <v>119</v>
      </c>
      <c r="C36" s="41">
        <v>1</v>
      </c>
      <c r="E36" s="136" t="s">
        <v>121</v>
      </c>
      <c r="F36" s="137"/>
      <c r="G36" s="137"/>
      <c r="H36" s="137"/>
      <c r="I36" s="141" t="s">
        <v>101</v>
      </c>
      <c r="J36" s="142"/>
      <c r="K36" s="143"/>
      <c r="L36" s="136" t="s">
        <v>122</v>
      </c>
      <c r="M36" s="137"/>
      <c r="N36" s="51" t="s">
        <v>102</v>
      </c>
      <c r="O36" s="31"/>
      <c r="P36" s="28"/>
      <c r="Q36" s="11">
        <v>2</v>
      </c>
    </row>
    <row r="37" spans="1:18" x14ac:dyDescent="0.25">
      <c r="A37" s="38" t="s">
        <v>122</v>
      </c>
      <c r="B37" s="109" t="s">
        <v>118</v>
      </c>
      <c r="C37" s="39">
        <v>2</v>
      </c>
      <c r="E37" s="24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5"/>
      <c r="Q37" s="11"/>
    </row>
    <row r="38" spans="1:18" ht="15.75" thickBot="1" x14ac:dyDescent="0.3">
      <c r="A38" s="42" t="s">
        <v>102</v>
      </c>
      <c r="B38" s="111" t="s">
        <v>118</v>
      </c>
      <c r="C38" s="43">
        <v>1</v>
      </c>
      <c r="E38" s="24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5"/>
      <c r="Q38" s="11"/>
    </row>
    <row r="39" spans="1:18" ht="15.75" thickBot="1" x14ac:dyDescent="0.3">
      <c r="A39" s="44" t="s">
        <v>160</v>
      </c>
      <c r="B39" s="112" t="s">
        <v>161</v>
      </c>
      <c r="C39" s="46">
        <v>4</v>
      </c>
      <c r="E39" s="136" t="s">
        <v>160</v>
      </c>
      <c r="F39" s="137"/>
      <c r="G39" s="137"/>
      <c r="H39" s="137"/>
      <c r="I39" s="141" t="s">
        <v>164</v>
      </c>
      <c r="J39" s="142"/>
      <c r="K39" s="142"/>
      <c r="L39" s="142"/>
      <c r="M39" s="143"/>
      <c r="N39" s="139" t="s">
        <v>163</v>
      </c>
      <c r="O39" s="140"/>
      <c r="P39" s="36"/>
      <c r="Q39" s="11">
        <v>3</v>
      </c>
    </row>
    <row r="40" spans="1:18" x14ac:dyDescent="0.25">
      <c r="A40" s="45" t="s">
        <v>103</v>
      </c>
      <c r="B40" s="113" t="s">
        <v>123</v>
      </c>
      <c r="C40" s="46">
        <v>1</v>
      </c>
      <c r="E40" s="52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/>
      <c r="Q40" s="11"/>
    </row>
    <row r="41" spans="1:18" ht="15.75" thickBot="1" x14ac:dyDescent="0.3">
      <c r="A41" s="45" t="s">
        <v>104</v>
      </c>
      <c r="B41" s="113" t="s">
        <v>123</v>
      </c>
      <c r="C41" s="46">
        <v>1</v>
      </c>
      <c r="E41" s="52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4"/>
      <c r="Q41" s="11"/>
    </row>
    <row r="42" spans="1:18" ht="15.75" thickBot="1" x14ac:dyDescent="0.3">
      <c r="A42" s="45" t="s">
        <v>105</v>
      </c>
      <c r="B42" s="113" t="s">
        <v>123</v>
      </c>
      <c r="C42" s="46">
        <v>1</v>
      </c>
      <c r="E42" s="136" t="s">
        <v>190</v>
      </c>
      <c r="F42" s="137"/>
      <c r="G42" s="136" t="s">
        <v>165</v>
      </c>
      <c r="H42" s="137"/>
      <c r="I42" s="138"/>
      <c r="J42" s="31"/>
      <c r="K42" s="31"/>
      <c r="L42" s="31"/>
      <c r="M42" s="31"/>
      <c r="N42" s="31"/>
      <c r="O42" s="31"/>
      <c r="P42" s="28"/>
      <c r="Q42" s="11">
        <v>4</v>
      </c>
    </row>
    <row r="43" spans="1:18" x14ac:dyDescent="0.25">
      <c r="A43" s="45" t="s">
        <v>106</v>
      </c>
      <c r="B43" s="113" t="s">
        <v>158</v>
      </c>
      <c r="C43" s="46">
        <v>1</v>
      </c>
      <c r="E43" s="24"/>
      <c r="F43" s="26"/>
      <c r="L43" s="26"/>
      <c r="M43" s="26"/>
      <c r="N43" s="26"/>
      <c r="O43" s="26"/>
      <c r="P43" s="25"/>
      <c r="Q43" s="11"/>
    </row>
    <row r="44" spans="1:18" ht="15.75" thickBot="1" x14ac:dyDescent="0.3">
      <c r="A44" s="47" t="s">
        <v>107</v>
      </c>
      <c r="B44" s="114" t="s">
        <v>159</v>
      </c>
      <c r="C44" s="46">
        <v>1</v>
      </c>
      <c r="E44" s="24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5"/>
      <c r="Q44" s="11"/>
    </row>
    <row r="45" spans="1:18" ht="15.75" thickBot="1" x14ac:dyDescent="0.3">
      <c r="A45" s="38" t="s">
        <v>190</v>
      </c>
      <c r="B45" s="109" t="s">
        <v>162</v>
      </c>
      <c r="C45" s="39">
        <v>2</v>
      </c>
      <c r="E45" s="27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28"/>
      <c r="Q45" s="11">
        <v>5</v>
      </c>
    </row>
    <row r="46" spans="1:18" x14ac:dyDescent="0.25">
      <c r="A46" s="40" t="s">
        <v>127</v>
      </c>
      <c r="B46" s="110" t="s">
        <v>115</v>
      </c>
      <c r="C46" s="41">
        <v>1</v>
      </c>
      <c r="E46" s="12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13"/>
      <c r="Q46" s="11"/>
    </row>
    <row r="47" spans="1:18" ht="15.75" thickBot="1" x14ac:dyDescent="0.3">
      <c r="A47" s="45" t="s">
        <v>128</v>
      </c>
      <c r="B47" s="113" t="s">
        <v>120</v>
      </c>
      <c r="C47" s="46">
        <v>1</v>
      </c>
      <c r="E47" s="14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15"/>
      <c r="Q47" s="108"/>
      <c r="R47" s="26"/>
    </row>
    <row r="48" spans="1:18" ht="15.75" thickBot="1" x14ac:dyDescent="0.3">
      <c r="A48" s="47" t="s">
        <v>129</v>
      </c>
      <c r="B48" s="114" t="s">
        <v>117</v>
      </c>
      <c r="C48" s="48">
        <v>1</v>
      </c>
      <c r="D48" s="108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</row>
    <row r="49" spans="1:18" ht="15.75" thickBot="1" x14ac:dyDescent="0.3">
      <c r="A49" s="49" t="s">
        <v>163</v>
      </c>
      <c r="B49" s="115" t="s">
        <v>116</v>
      </c>
      <c r="C49" s="48">
        <v>2</v>
      </c>
      <c r="D49" s="108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</row>
    <row r="50" spans="1:18" x14ac:dyDescent="0.25">
      <c r="A50" t="s">
        <v>166</v>
      </c>
      <c r="C50" s="50">
        <f>SUBTOTAL(109,Tabelle8[TE])</f>
        <v>26</v>
      </c>
      <c r="D50" s="108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</row>
    <row r="51" spans="1:18" x14ac:dyDescent="0.25">
      <c r="D51" s="108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</row>
  </sheetData>
  <mergeCells count="36">
    <mergeCell ref="A1:AC1"/>
    <mergeCell ref="G42:I42"/>
    <mergeCell ref="L36:M36"/>
    <mergeCell ref="N39:O39"/>
    <mergeCell ref="E36:H36"/>
    <mergeCell ref="I36:K36"/>
    <mergeCell ref="E39:H39"/>
    <mergeCell ref="I39:M39"/>
    <mergeCell ref="E42:F42"/>
    <mergeCell ref="V15:AC15"/>
    <mergeCell ref="R15:U15"/>
    <mergeCell ref="X6:AC6"/>
    <mergeCell ref="R6:W6"/>
    <mergeCell ref="R18:S18"/>
    <mergeCell ref="T18:U18"/>
    <mergeCell ref="V18:W18"/>
    <mergeCell ref="R12:U12"/>
    <mergeCell ref="V12:AC12"/>
    <mergeCell ref="R9:AC9"/>
    <mergeCell ref="R2:R3"/>
    <mergeCell ref="X2:X3"/>
    <mergeCell ref="AC2:AC3"/>
    <mergeCell ref="A31:C31"/>
    <mergeCell ref="P2:P3"/>
    <mergeCell ref="O21:P21"/>
    <mergeCell ref="E12:P12"/>
    <mergeCell ref="M15:P15"/>
    <mergeCell ref="E15:H15"/>
    <mergeCell ref="E6:P6"/>
    <mergeCell ref="E9:P9"/>
    <mergeCell ref="A3:B3"/>
    <mergeCell ref="E2:E3"/>
    <mergeCell ref="J2:J3"/>
    <mergeCell ref="E18:G18"/>
    <mergeCell ref="G21:J21"/>
    <mergeCell ref="E21:F21"/>
  </mergeCells>
  <phoneticPr fontId="3" type="noConversion"/>
  <pageMargins left="0.34" right="0.2" top="0.57999999999999996" bottom="0.53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sheetPr codeName="Tabelle5"/>
  <dimension ref="A1:H41"/>
  <sheetViews>
    <sheetView tabSelected="1" topLeftCell="A19" zoomScaleNormal="100" workbookViewId="0">
      <selection activeCell="G16" sqref="G16"/>
    </sheetView>
  </sheetViews>
  <sheetFormatPr baseColWidth="10" defaultRowHeight="15" x14ac:dyDescent="0.25"/>
  <cols>
    <col min="1" max="1" width="13" bestFit="1" customWidth="1"/>
    <col min="2" max="2" width="3.42578125" style="11" customWidth="1"/>
    <col min="3" max="3" width="23.28515625" bestFit="1" customWidth="1"/>
    <col min="4" max="4" width="11.5703125" style="84"/>
    <col min="5" max="5" width="11.5703125" style="101"/>
  </cols>
  <sheetData>
    <row r="1" spans="1:8" ht="15.75" thickBot="1" x14ac:dyDescent="0.3">
      <c r="A1" t="s">
        <v>75</v>
      </c>
      <c r="C1" t="s">
        <v>76</v>
      </c>
      <c r="D1" s="84" t="s">
        <v>170</v>
      </c>
      <c r="E1" s="101" t="s">
        <v>80</v>
      </c>
    </row>
    <row r="2" spans="1:8" ht="15.75" thickBot="1" x14ac:dyDescent="0.3">
      <c r="A2" s="144" t="s">
        <v>89</v>
      </c>
      <c r="B2" s="66">
        <v>1</v>
      </c>
      <c r="C2" s="106" t="s">
        <v>77</v>
      </c>
      <c r="D2" s="88" t="s">
        <v>172</v>
      </c>
      <c r="E2" s="83">
        <v>14</v>
      </c>
    </row>
    <row r="3" spans="1:8" ht="15.75" thickBot="1" x14ac:dyDescent="0.3">
      <c r="A3" s="145"/>
      <c r="B3" s="107">
        <v>2</v>
      </c>
      <c r="C3" s="106" t="s">
        <v>78</v>
      </c>
      <c r="D3" s="88" t="s">
        <v>173</v>
      </c>
      <c r="E3" s="105">
        <v>14</v>
      </c>
    </row>
    <row r="4" spans="1:8" x14ac:dyDescent="0.25">
      <c r="A4" s="146"/>
      <c r="B4" s="167">
        <v>3</v>
      </c>
      <c r="C4" s="71" t="s">
        <v>175</v>
      </c>
      <c r="D4" s="150" t="s">
        <v>174</v>
      </c>
      <c r="E4" s="153">
        <v>1</v>
      </c>
    </row>
    <row r="5" spans="1:8" ht="15.75" thickBot="1" x14ac:dyDescent="0.3">
      <c r="A5" s="146"/>
      <c r="B5" s="167"/>
      <c r="C5" s="72" t="s">
        <v>176</v>
      </c>
      <c r="D5" s="170"/>
      <c r="E5" s="171"/>
    </row>
    <row r="6" spans="1:8" x14ac:dyDescent="0.25">
      <c r="A6" s="146"/>
      <c r="B6" s="154">
        <v>4</v>
      </c>
      <c r="C6" s="71" t="s">
        <v>177</v>
      </c>
      <c r="D6" s="150" t="s">
        <v>174</v>
      </c>
      <c r="E6" s="152">
        <v>1</v>
      </c>
    </row>
    <row r="7" spans="1:8" ht="15.75" thickBot="1" x14ac:dyDescent="0.3">
      <c r="A7" s="146"/>
      <c r="B7" s="155"/>
      <c r="C7" s="73" t="s">
        <v>171</v>
      </c>
      <c r="D7" s="170"/>
      <c r="E7" s="171"/>
    </row>
    <row r="8" spans="1:8" ht="15.75" thickBot="1" x14ac:dyDescent="0.3">
      <c r="A8" s="146"/>
      <c r="B8" s="74">
        <v>5</v>
      </c>
      <c r="C8" s="75" t="s">
        <v>96</v>
      </c>
      <c r="D8" s="86" t="s">
        <v>174</v>
      </c>
      <c r="E8" s="76">
        <v>16</v>
      </c>
    </row>
    <row r="9" spans="1:8" x14ac:dyDescent="0.25">
      <c r="A9" s="162" t="s">
        <v>25</v>
      </c>
      <c r="B9" s="160">
        <v>6</v>
      </c>
      <c r="C9" s="29" t="s">
        <v>81</v>
      </c>
      <c r="D9" s="165" t="s">
        <v>174</v>
      </c>
      <c r="E9" s="158">
        <v>15</v>
      </c>
      <c r="G9" t="s">
        <v>187</v>
      </c>
      <c r="H9">
        <f>COUNTIF($D$2:$D$41,"3x1,5")</f>
        <v>11</v>
      </c>
    </row>
    <row r="10" spans="1:8" ht="15.75" thickBot="1" x14ac:dyDescent="0.3">
      <c r="A10" s="163"/>
      <c r="B10" s="168"/>
      <c r="C10" s="26" t="s">
        <v>82</v>
      </c>
      <c r="D10" s="166"/>
      <c r="E10" s="159"/>
      <c r="F10" s="26"/>
      <c r="G10" t="s">
        <v>186</v>
      </c>
      <c r="H10">
        <f>COUNTIF($D$2:$D$41,"5x1,5")</f>
        <v>14</v>
      </c>
    </row>
    <row r="11" spans="1:8" x14ac:dyDescent="0.25">
      <c r="A11" s="163"/>
      <c r="B11" s="160">
        <v>7</v>
      </c>
      <c r="C11" s="29" t="s">
        <v>83</v>
      </c>
      <c r="D11" s="169" t="s">
        <v>174</v>
      </c>
      <c r="E11" s="158">
        <v>2</v>
      </c>
      <c r="F11" s="26"/>
      <c r="G11" t="s">
        <v>189</v>
      </c>
      <c r="H11">
        <f>COUNTIF($D$2:$D$41,"5x2,5")</f>
        <v>1</v>
      </c>
    </row>
    <row r="12" spans="1:8" ht="15.75" thickBot="1" x14ac:dyDescent="0.3">
      <c r="A12" s="163"/>
      <c r="B12" s="168"/>
      <c r="C12" s="61" t="s">
        <v>178</v>
      </c>
      <c r="D12" s="169"/>
      <c r="E12" s="159"/>
      <c r="F12" s="37"/>
      <c r="G12" t="s">
        <v>188</v>
      </c>
      <c r="H12">
        <f>COUNTIF($D$2:$D$41,"7x1,5")</f>
        <v>1</v>
      </c>
    </row>
    <row r="13" spans="1:8" x14ac:dyDescent="0.25">
      <c r="A13" s="163"/>
      <c r="B13" s="160">
        <v>8</v>
      </c>
      <c r="C13" s="13" t="s">
        <v>84</v>
      </c>
      <c r="D13" s="156" t="s">
        <v>174</v>
      </c>
      <c r="E13" s="158">
        <v>2</v>
      </c>
      <c r="F13" s="37"/>
    </row>
    <row r="14" spans="1:8" x14ac:dyDescent="0.25">
      <c r="A14" s="163"/>
      <c r="B14" s="168"/>
      <c r="C14" s="25" t="s">
        <v>179</v>
      </c>
      <c r="D14" s="169"/>
      <c r="E14" s="172"/>
      <c r="F14" s="37"/>
    </row>
    <row r="15" spans="1:8" ht="15.75" thickBot="1" x14ac:dyDescent="0.3">
      <c r="A15" s="163"/>
      <c r="B15" s="161"/>
      <c r="C15" s="15" t="s">
        <v>180</v>
      </c>
      <c r="D15" s="157"/>
      <c r="E15" s="159"/>
      <c r="F15" s="37"/>
    </row>
    <row r="16" spans="1:8" ht="15.75" thickBot="1" x14ac:dyDescent="0.3">
      <c r="A16" s="163"/>
      <c r="B16" s="65">
        <v>9</v>
      </c>
      <c r="C16" s="63" t="s">
        <v>97</v>
      </c>
      <c r="D16" s="32" t="s">
        <v>174</v>
      </c>
      <c r="E16" s="69">
        <v>16</v>
      </c>
      <c r="F16" s="37"/>
    </row>
    <row r="17" spans="1:7" ht="15.75" thickBot="1" x14ac:dyDescent="0.3">
      <c r="A17" s="163"/>
      <c r="B17" s="65">
        <v>10</v>
      </c>
      <c r="C17" s="58" t="s">
        <v>98</v>
      </c>
      <c r="D17" s="87" t="s">
        <v>174</v>
      </c>
      <c r="E17" s="69">
        <v>16</v>
      </c>
      <c r="F17" s="26"/>
      <c r="G17" s="68"/>
    </row>
    <row r="18" spans="1:7" ht="15.75" thickBot="1" x14ac:dyDescent="0.3">
      <c r="A18" s="164" t="s">
        <v>24</v>
      </c>
      <c r="B18" s="56">
        <v>11</v>
      </c>
      <c r="C18" s="67" t="s">
        <v>86</v>
      </c>
      <c r="D18" s="88" t="s">
        <v>172</v>
      </c>
      <c r="E18" s="76">
        <v>19</v>
      </c>
      <c r="F18" s="26"/>
    </row>
    <row r="19" spans="1:7" ht="15.75" thickBot="1" x14ac:dyDescent="0.3">
      <c r="A19" s="146"/>
      <c r="B19" s="55">
        <v>12</v>
      </c>
      <c r="C19" s="75" t="s">
        <v>87</v>
      </c>
      <c r="D19" s="88" t="s">
        <v>172</v>
      </c>
      <c r="E19" s="76">
        <v>8</v>
      </c>
    </row>
    <row r="20" spans="1:7" ht="15.75" thickBot="1" x14ac:dyDescent="0.3">
      <c r="A20" s="146"/>
      <c r="B20" s="55">
        <v>13</v>
      </c>
      <c r="C20" s="75" t="s">
        <v>88</v>
      </c>
      <c r="D20" s="88" t="s">
        <v>172</v>
      </c>
      <c r="E20" s="76">
        <v>7</v>
      </c>
    </row>
    <row r="21" spans="1:7" ht="15.75" thickBot="1" x14ac:dyDescent="0.3">
      <c r="A21" s="146"/>
      <c r="B21" s="56">
        <v>14</v>
      </c>
      <c r="C21" s="75" t="s">
        <v>96</v>
      </c>
      <c r="D21" s="88" t="s">
        <v>174</v>
      </c>
      <c r="E21" s="76">
        <v>16</v>
      </c>
    </row>
    <row r="22" spans="1:7" ht="15.75" thickBot="1" x14ac:dyDescent="0.3">
      <c r="A22" s="146"/>
      <c r="B22" s="77">
        <v>15</v>
      </c>
      <c r="C22" s="75" t="s">
        <v>90</v>
      </c>
      <c r="D22" s="85" t="s">
        <v>182</v>
      </c>
      <c r="E22" s="76">
        <v>11</v>
      </c>
    </row>
    <row r="23" spans="1:7" x14ac:dyDescent="0.25">
      <c r="A23" s="146"/>
      <c r="B23" s="154">
        <v>16</v>
      </c>
      <c r="C23" s="71" t="s">
        <v>85</v>
      </c>
      <c r="D23" s="150" t="s">
        <v>174</v>
      </c>
      <c r="E23" s="152">
        <v>15</v>
      </c>
    </row>
    <row r="24" spans="1:7" ht="15.75" thickBot="1" x14ac:dyDescent="0.3">
      <c r="A24" s="146"/>
      <c r="B24" s="167"/>
      <c r="C24" s="72" t="s">
        <v>82</v>
      </c>
      <c r="D24" s="170"/>
      <c r="E24" s="153"/>
    </row>
    <row r="25" spans="1:7" x14ac:dyDescent="0.25">
      <c r="A25" s="145"/>
      <c r="B25" s="148">
        <v>17</v>
      </c>
      <c r="C25" s="71" t="s">
        <v>181</v>
      </c>
      <c r="D25" s="173" t="s">
        <v>174</v>
      </c>
      <c r="E25" s="152">
        <v>3</v>
      </c>
    </row>
    <row r="26" spans="1:7" ht="15.75" thickBot="1" x14ac:dyDescent="0.3">
      <c r="A26" s="116"/>
      <c r="B26" s="149"/>
      <c r="C26" s="117" t="s">
        <v>192</v>
      </c>
      <c r="D26" s="174"/>
      <c r="E26" s="171"/>
    </row>
    <row r="27" spans="1:7" x14ac:dyDescent="0.25">
      <c r="A27" s="162" t="s">
        <v>27</v>
      </c>
      <c r="B27" s="168">
        <v>18</v>
      </c>
      <c r="C27" s="26" t="s">
        <v>91</v>
      </c>
      <c r="D27" s="169" t="s">
        <v>174</v>
      </c>
      <c r="E27" s="172">
        <v>3</v>
      </c>
    </row>
    <row r="28" spans="1:7" ht="15.75" thickBot="1" x14ac:dyDescent="0.3">
      <c r="A28" s="163"/>
      <c r="B28" s="161"/>
      <c r="C28" s="30" t="s">
        <v>16</v>
      </c>
      <c r="D28" s="157"/>
      <c r="E28" s="159"/>
    </row>
    <row r="29" spans="1:7" ht="15.75" thickBot="1" x14ac:dyDescent="0.3">
      <c r="A29" s="163"/>
      <c r="B29" s="64">
        <v>19</v>
      </c>
      <c r="C29" s="57" t="s">
        <v>92</v>
      </c>
      <c r="D29" s="89" t="s">
        <v>174</v>
      </c>
      <c r="E29" s="82">
        <v>19</v>
      </c>
    </row>
    <row r="30" spans="1:7" x14ac:dyDescent="0.25">
      <c r="A30" s="144" t="s">
        <v>28</v>
      </c>
      <c r="B30" s="148">
        <v>20</v>
      </c>
      <c r="C30" s="71" t="s">
        <v>82</v>
      </c>
      <c r="D30" s="150" t="s">
        <v>174</v>
      </c>
      <c r="E30" s="152">
        <v>15</v>
      </c>
    </row>
    <row r="31" spans="1:7" ht="15.75" thickBot="1" x14ac:dyDescent="0.3">
      <c r="A31" s="145"/>
      <c r="B31" s="149"/>
      <c r="C31" s="73" t="s">
        <v>93</v>
      </c>
      <c r="D31" s="151"/>
      <c r="E31" s="153"/>
    </row>
    <row r="32" spans="1:7" ht="15.75" thickBot="1" x14ac:dyDescent="0.3">
      <c r="A32" s="146"/>
      <c r="B32" s="79">
        <v>21</v>
      </c>
      <c r="C32" s="78" t="s">
        <v>94</v>
      </c>
      <c r="D32" s="60" t="s">
        <v>172</v>
      </c>
      <c r="E32" s="76">
        <v>9</v>
      </c>
    </row>
    <row r="33" spans="1:5" ht="15.75" thickBot="1" x14ac:dyDescent="0.3">
      <c r="A33" s="146"/>
      <c r="B33" s="55">
        <v>22</v>
      </c>
      <c r="C33" s="78" t="s">
        <v>95</v>
      </c>
      <c r="D33" s="90" t="s">
        <v>172</v>
      </c>
      <c r="E33" s="76">
        <v>10</v>
      </c>
    </row>
    <row r="34" spans="1:5" ht="15.75" thickBot="1" x14ac:dyDescent="0.3">
      <c r="A34" s="147"/>
      <c r="B34" s="79">
        <v>23</v>
      </c>
      <c r="C34" s="72" t="s">
        <v>79</v>
      </c>
      <c r="D34" s="60" t="s">
        <v>172</v>
      </c>
      <c r="E34" s="83">
        <v>4</v>
      </c>
    </row>
    <row r="35" spans="1:5" x14ac:dyDescent="0.25">
      <c r="A35" s="24" t="s">
        <v>26</v>
      </c>
      <c r="B35" s="70"/>
      <c r="C35" s="26" t="s">
        <v>99</v>
      </c>
      <c r="D35" s="91"/>
      <c r="E35" s="102"/>
    </row>
    <row r="36" spans="1:5" x14ac:dyDescent="0.25">
      <c r="A36" s="24"/>
      <c r="B36" s="70"/>
      <c r="C36" s="26"/>
      <c r="D36" s="91"/>
      <c r="E36" s="102"/>
    </row>
    <row r="37" spans="1:5" ht="15.75" thickBot="1" x14ac:dyDescent="0.3">
      <c r="A37" s="24"/>
      <c r="B37" s="70"/>
      <c r="C37" s="26"/>
      <c r="D37" s="91"/>
      <c r="E37" s="102"/>
    </row>
    <row r="38" spans="1:5" ht="15.75" thickBot="1" x14ac:dyDescent="0.3">
      <c r="A38" s="93" t="s">
        <v>29</v>
      </c>
      <c r="B38" s="100"/>
      <c r="C38" s="78" t="s">
        <v>82</v>
      </c>
      <c r="D38" s="67" t="s">
        <v>172</v>
      </c>
      <c r="E38" s="103">
        <v>14</v>
      </c>
    </row>
    <row r="39" spans="1:5" ht="15.75" thickBot="1" x14ac:dyDescent="0.3">
      <c r="A39" s="94"/>
      <c r="B39" s="80"/>
      <c r="C39" s="73" t="s">
        <v>79</v>
      </c>
      <c r="D39" s="59" t="s">
        <v>172</v>
      </c>
      <c r="E39" s="81">
        <v>5</v>
      </c>
    </row>
    <row r="40" spans="1:5" ht="15.75" thickBot="1" x14ac:dyDescent="0.3">
      <c r="A40" s="95"/>
      <c r="B40" s="100"/>
      <c r="C40" s="78" t="s">
        <v>111</v>
      </c>
      <c r="D40" s="67" t="s">
        <v>172</v>
      </c>
      <c r="E40" s="103">
        <v>17</v>
      </c>
    </row>
    <row r="41" spans="1:5" ht="15.75" thickBot="1" x14ac:dyDescent="0.3">
      <c r="A41" s="14" t="s">
        <v>31</v>
      </c>
      <c r="B41" s="62"/>
      <c r="C41" s="30" t="s">
        <v>100</v>
      </c>
      <c r="D41" s="92" t="s">
        <v>172</v>
      </c>
      <c r="E41" s="104">
        <v>5</v>
      </c>
    </row>
  </sheetData>
  <mergeCells count="32">
    <mergeCell ref="E4:E5"/>
    <mergeCell ref="E6:E7"/>
    <mergeCell ref="E9:E10"/>
    <mergeCell ref="E11:E12"/>
    <mergeCell ref="E13:E15"/>
    <mergeCell ref="A2:A8"/>
    <mergeCell ref="A9:A17"/>
    <mergeCell ref="A18:A25"/>
    <mergeCell ref="A27:A29"/>
    <mergeCell ref="D23:D24"/>
    <mergeCell ref="D9:D10"/>
    <mergeCell ref="B4:B5"/>
    <mergeCell ref="B6:B7"/>
    <mergeCell ref="B9:B10"/>
    <mergeCell ref="B11:B12"/>
    <mergeCell ref="D13:D15"/>
    <mergeCell ref="B13:B15"/>
    <mergeCell ref="D4:D5"/>
    <mergeCell ref="D6:D7"/>
    <mergeCell ref="D11:D12"/>
    <mergeCell ref="B25:B26"/>
    <mergeCell ref="A30:A34"/>
    <mergeCell ref="B30:B31"/>
    <mergeCell ref="D30:D31"/>
    <mergeCell ref="E30:E31"/>
    <mergeCell ref="B23:B24"/>
    <mergeCell ref="D27:D28"/>
    <mergeCell ref="E27:E28"/>
    <mergeCell ref="B27:B28"/>
    <mergeCell ref="E23:E24"/>
    <mergeCell ref="D25:D26"/>
    <mergeCell ref="E25:E26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Thomas Brandl</cp:lastModifiedBy>
  <cp:lastPrinted>2020-12-21T14:41:13Z</cp:lastPrinted>
  <dcterms:created xsi:type="dcterms:W3CDTF">2020-11-22T19:29:23Z</dcterms:created>
  <dcterms:modified xsi:type="dcterms:W3CDTF">2020-12-23T09:59:25Z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