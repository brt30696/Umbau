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om\Documents\Umbau\Elektro\"/>
    </mc:Choice>
  </mc:AlternateContent>
  <xr:revisionPtr revIDLastSave="0" documentId="13_ncr:1_{9CC73B3B-0B00-4270-A459-9CF6B0DFC3BC}" xr6:coauthVersionLast="45" xr6:coauthVersionMax="45" xr10:uidLastSave="{00000000-0000-0000-0000-000000000000}"/>
  <bookViews>
    <workbookView xWindow="-120" yWindow="-120" windowWidth="25440" windowHeight="15390" activeTab="2" xr2:uid="{A6F8353D-0510-4489-8C99-156F73AB2641}"/>
  </bookViews>
  <sheets>
    <sheet name="Übersicht" sheetId="1" r:id="rId1"/>
    <sheet name="Schaltstellen" sheetId="2" r:id="rId2"/>
    <sheet name="Kosten" sheetId="3" r:id="rId3"/>
    <sheet name="Sicherungskasten" sheetId="4" r:id="rId4"/>
    <sheet name="Kabelsträng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5" l="1"/>
  <c r="H12" i="5"/>
  <c r="H10" i="5"/>
  <c r="H9" i="5"/>
  <c r="H4" i="3" l="1"/>
  <c r="C50" i="4" l="1"/>
  <c r="E18" i="1" l="1"/>
  <c r="H18" i="1"/>
  <c r="S18" i="1"/>
  <c r="C18" i="1" s="1"/>
  <c r="T1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9" i="1"/>
  <c r="E20" i="1"/>
  <c r="S10" i="1" l="1"/>
  <c r="C10" i="1" s="1"/>
  <c r="T10" i="1"/>
  <c r="S11" i="1"/>
  <c r="T11" i="1"/>
  <c r="S12" i="1"/>
  <c r="C12" i="1" s="1"/>
  <c r="T12" i="1"/>
  <c r="C11" i="1" l="1"/>
  <c r="K3" i="2"/>
  <c r="K4" i="2"/>
  <c r="K5" i="2"/>
  <c r="K6" i="2"/>
  <c r="V25" i="1" l="1"/>
  <c r="S5" i="1"/>
  <c r="S6" i="1"/>
  <c r="S7" i="1"/>
  <c r="S8" i="1"/>
  <c r="S9" i="1"/>
  <c r="S14" i="1"/>
  <c r="S15" i="1"/>
  <c r="S17" i="1"/>
  <c r="S13" i="1"/>
  <c r="S19" i="1"/>
  <c r="S20" i="1"/>
  <c r="S16" i="1"/>
  <c r="T5" i="1"/>
  <c r="T6" i="1"/>
  <c r="T7" i="1"/>
  <c r="T8" i="1"/>
  <c r="T9" i="1"/>
  <c r="T14" i="1"/>
  <c r="T15" i="1"/>
  <c r="T17" i="1"/>
  <c r="T13" i="1"/>
  <c r="T19" i="1"/>
  <c r="T20" i="1"/>
  <c r="T16" i="1"/>
  <c r="V22" i="1" l="1"/>
  <c r="C20" i="1"/>
  <c r="C15" i="1"/>
  <c r="C7" i="1"/>
  <c r="V24" i="1"/>
  <c r="C17" i="1"/>
  <c r="C14" i="1"/>
  <c r="C9" i="1"/>
  <c r="C16" i="1"/>
  <c r="C8" i="1"/>
  <c r="C19" i="1"/>
  <c r="C6" i="1"/>
  <c r="C13" i="1"/>
  <c r="C5" i="1"/>
  <c r="V23" i="1"/>
  <c r="T21" i="1" l="1"/>
</calcChain>
</file>

<file path=xl/sharedStrings.xml><?xml version="1.0" encoding="utf-8"?>
<sst xmlns="http://schemas.openxmlformats.org/spreadsheetml/2006/main" count="283" uniqueCount="192">
  <si>
    <t>KNX-Elektroinstallation</t>
  </si>
  <si>
    <t>Bezeichnung</t>
  </si>
  <si>
    <t>Preis</t>
  </si>
  <si>
    <t>Kategorie</t>
  </si>
  <si>
    <t>Herstellernummer</t>
  </si>
  <si>
    <t>Netzteil</t>
  </si>
  <si>
    <t>Ethernet Interface</t>
  </si>
  <si>
    <t>Heizungsstelltrieb</t>
  </si>
  <si>
    <t>Heizungsaktor</t>
  </si>
  <si>
    <t>Jalosienenaktor</t>
  </si>
  <si>
    <t>Dimmaktor</t>
  </si>
  <si>
    <t>MDT JAL-0810.02 Jalousieaktor 8TE REG 10A 230VAC</t>
  </si>
  <si>
    <t>Jalosine</t>
  </si>
  <si>
    <t>Basis</t>
  </si>
  <si>
    <t>Glastaster</t>
  </si>
  <si>
    <t>Heizung</t>
  </si>
  <si>
    <t>Licht</t>
  </si>
  <si>
    <t>Endpreis</t>
  </si>
  <si>
    <t>MDT STV-0640.02 Busspannungsversorgung 4TE REG 640mA</t>
  </si>
  <si>
    <t>MDT SCN-IP000.03 IP Interface 2TE REG mit Email und Zeitserverfunktion</t>
  </si>
  <si>
    <t>MDT BE-GT2TW.01 Glastaster II Smart mit 6 Sensorflächen</t>
  </si>
  <si>
    <t>MDT AKH-0600.02 Heizungsaktor 3TE REG 24-230VAC</t>
  </si>
  <si>
    <t>MDT AKD-0401.02 Dimmaktor 6TE REG 250W 230VAC mit Wirkleistungsmessung</t>
  </si>
  <si>
    <t>MERTEN 639125 Thermoelektrischer Stellantrieb 230 V</t>
  </si>
  <si>
    <t>Küche</t>
  </si>
  <si>
    <t>Esszimmer</t>
  </si>
  <si>
    <t>Wohnzimmer</t>
  </si>
  <si>
    <t>Speis</t>
  </si>
  <si>
    <t>Bad</t>
  </si>
  <si>
    <t>Gang</t>
  </si>
  <si>
    <t>Schalafzimmer</t>
  </si>
  <si>
    <t>Klo</t>
  </si>
  <si>
    <t>Schaltaktor</t>
  </si>
  <si>
    <t>Lampengruppe</t>
  </si>
  <si>
    <t>Dimmgruppe</t>
  </si>
  <si>
    <t>Steckdosengruppe</t>
  </si>
  <si>
    <t>Summe</t>
  </si>
  <si>
    <t>Binäreingang</t>
  </si>
  <si>
    <t>MDT BE-TA5504.G1 Taster 55mm UP 4-fach</t>
  </si>
  <si>
    <t>4-fach Taster</t>
  </si>
  <si>
    <t>MDT AKK-1616.03 Schaltaktor Kompakt 16-fach</t>
  </si>
  <si>
    <t>MDT BE-06001.02 Tasterschnittstelle UP potentialfrei 6-fach</t>
  </si>
  <si>
    <t>Multischaltaktor</t>
  </si>
  <si>
    <t>MDT AKU-2416.02 Universalaktor 12TE REG 16A 230VAC 100µF 15EVG 24-fach</t>
  </si>
  <si>
    <t>KNX-fähig</t>
  </si>
  <si>
    <t>Menge KNX-Geräte</t>
  </si>
  <si>
    <t>Dimmaktor mit Wirkleistungsmesser</t>
  </si>
  <si>
    <t>MDT AKD-0410V.02 Dimmaktor 4-fach 4TE REG 1-10V mit RGBW</t>
  </si>
  <si>
    <t>TE</t>
  </si>
  <si>
    <t>Jalosienen</t>
  </si>
  <si>
    <t>Multischaltaktor Kanäle:</t>
  </si>
  <si>
    <t>Dimmer Kanäle:</t>
  </si>
  <si>
    <t>Platzbedarf</t>
  </si>
  <si>
    <t>Anzahl KNX-Knoten:</t>
  </si>
  <si>
    <t>Platzbedarf im Schaltschrank:</t>
  </si>
  <si>
    <t>Raum</t>
  </si>
  <si>
    <t>Kanäle pro Gerät</t>
  </si>
  <si>
    <t>Kanäle gesamt</t>
  </si>
  <si>
    <t>Hof</t>
  </si>
  <si>
    <t>Fingerprint KNX Interface</t>
  </si>
  <si>
    <t>EKEY 101 719 home converter KNX RS-485</t>
  </si>
  <si>
    <t>Tür</t>
  </si>
  <si>
    <t>Fingerprint Steuereinheit</t>
  </si>
  <si>
    <t>EKEY 101 163 multi SE REG 4 Steuereinheit Fingeranzahl 99 weiß</t>
  </si>
  <si>
    <t>Fingersensor</t>
  </si>
  <si>
    <t>EKEY 101 148 home FS UP E Fingerscanner 99 Fingerprints ohne RFID</t>
  </si>
  <si>
    <t>Händler</t>
  </si>
  <si>
    <t>Datum</t>
  </si>
  <si>
    <t>Beschreibung</t>
  </si>
  <si>
    <t>Konto</t>
  </si>
  <si>
    <t>Betrag</t>
  </si>
  <si>
    <t>Temo-Elektro</t>
  </si>
  <si>
    <t>Material für Elektrorohinstallation</t>
  </si>
  <si>
    <t>Richard Brandl</t>
  </si>
  <si>
    <t>elektro</t>
  </si>
  <si>
    <t>Zimmer</t>
  </si>
  <si>
    <t xml:space="preserve">Strang </t>
  </si>
  <si>
    <t>Lampe Decke</t>
  </si>
  <si>
    <t>Lampe Wand</t>
  </si>
  <si>
    <t>Steckdosen ungeschaltet</t>
  </si>
  <si>
    <t>Sicherung</t>
  </si>
  <si>
    <t>Lampe Esstisch</t>
  </si>
  <si>
    <t>Deckenspots</t>
  </si>
  <si>
    <t>Steckdose Fenster Süd</t>
  </si>
  <si>
    <t>Steckdose Fenster Ost</t>
  </si>
  <si>
    <t>Lampen Teke</t>
  </si>
  <si>
    <t>Kühlschrank</t>
  </si>
  <si>
    <t>Backofen</t>
  </si>
  <si>
    <t>Geschirrspüler</t>
  </si>
  <si>
    <t>Schlafzimmer</t>
  </si>
  <si>
    <t>Herdplatte</t>
  </si>
  <si>
    <t>Steckdosen Ost</t>
  </si>
  <si>
    <t>Steckdosen West</t>
  </si>
  <si>
    <t>Licht Spiegelschrank</t>
  </si>
  <si>
    <t xml:space="preserve">Waschmaschine </t>
  </si>
  <si>
    <t>Trockner</t>
  </si>
  <si>
    <t>Rollo</t>
  </si>
  <si>
    <t>Rollo Süd</t>
  </si>
  <si>
    <t>Rollo Ost</t>
  </si>
  <si>
    <t>Steckdose Fenster</t>
  </si>
  <si>
    <t>Licht und Steckdose</t>
  </si>
  <si>
    <t>F1</t>
  </si>
  <si>
    <t>F2</t>
  </si>
  <si>
    <t>F3</t>
  </si>
  <si>
    <t>F4</t>
  </si>
  <si>
    <t>F5</t>
  </si>
  <si>
    <t>F6</t>
  </si>
  <si>
    <t>F7</t>
  </si>
  <si>
    <t>F17</t>
  </si>
  <si>
    <t>F18</t>
  </si>
  <si>
    <t>F19</t>
  </si>
  <si>
    <t>Steckdose außen</t>
  </si>
  <si>
    <t>Wiro</t>
  </si>
  <si>
    <t>Einzugsband</t>
  </si>
  <si>
    <t>Sicherungen</t>
  </si>
  <si>
    <t>Garage Rieber</t>
  </si>
  <si>
    <t>Keller</t>
  </si>
  <si>
    <t>Beleuchtung Hof</t>
  </si>
  <si>
    <t>Lichtstrom Stadl</t>
  </si>
  <si>
    <t>Kraft Stadl</t>
  </si>
  <si>
    <t>Garage und Garten</t>
  </si>
  <si>
    <t>FI1</t>
  </si>
  <si>
    <t>FI2</t>
  </si>
  <si>
    <t>Herd 1.OG</t>
  </si>
  <si>
    <t>Preis/Kanal</t>
  </si>
  <si>
    <t>MDT AKU-0816.02 Universalaktor 4TE REG16A 100µF 15EVG 230 VAC 8-fach</t>
  </si>
  <si>
    <t>Bedeutung</t>
  </si>
  <si>
    <t>F8</t>
  </si>
  <si>
    <t>F9</t>
  </si>
  <si>
    <t>F10</t>
  </si>
  <si>
    <t>Licht West</t>
  </si>
  <si>
    <t>Licht Ost</t>
  </si>
  <si>
    <t>Steckdosen Essen</t>
  </si>
  <si>
    <t>Herd</t>
  </si>
  <si>
    <t>Ofen</t>
  </si>
  <si>
    <t>Steckdosen Bad</t>
  </si>
  <si>
    <t>Steckdosen Gang/Klo</t>
  </si>
  <si>
    <t>Steckdosen Küche/Speis</t>
  </si>
  <si>
    <t>Steckdosen Wohnen</t>
  </si>
  <si>
    <t>Steckdose Haustür</t>
  </si>
  <si>
    <t>F1-F8</t>
  </si>
  <si>
    <t>F9-F16</t>
  </si>
  <si>
    <t>FI-LS-Kombi</t>
  </si>
  <si>
    <t>Funktion</t>
  </si>
  <si>
    <t>Kühl- und Gefrierschrank</t>
  </si>
  <si>
    <t>Steckdosen Schlafen</t>
  </si>
  <si>
    <t>F1-8</t>
  </si>
  <si>
    <t>F9-16</t>
  </si>
  <si>
    <t>24-fach Schalter</t>
  </si>
  <si>
    <t>Dimmer</t>
  </si>
  <si>
    <t>IT-Int.</t>
  </si>
  <si>
    <t>8. Schalt.</t>
  </si>
  <si>
    <t>Klemmen</t>
  </si>
  <si>
    <t>X1</t>
  </si>
  <si>
    <t>Anschl. 2.OG</t>
  </si>
  <si>
    <t>Anschl. EG</t>
  </si>
  <si>
    <t>Sicherungskasten EG</t>
  </si>
  <si>
    <t>Sicherungskasten Keller</t>
  </si>
  <si>
    <t>1.OG west</t>
  </si>
  <si>
    <t>1.OG ost</t>
  </si>
  <si>
    <t>FI3</t>
  </si>
  <si>
    <t>Haus</t>
  </si>
  <si>
    <t>Außenanalgen</t>
  </si>
  <si>
    <t>FI/LS1</t>
  </si>
  <si>
    <t>F3 - F7</t>
  </si>
  <si>
    <t>F8-F10</t>
  </si>
  <si>
    <t>Ergebnis</t>
  </si>
  <si>
    <t>Fega</t>
  </si>
  <si>
    <t xml:space="preserve">elektro </t>
  </si>
  <si>
    <t>Verteilerkasten Keller</t>
  </si>
  <si>
    <t>Zuleitung</t>
  </si>
  <si>
    <t>Steckdose Schrank</t>
  </si>
  <si>
    <t>3x1,5</t>
  </si>
  <si>
    <t>7x1,5</t>
  </si>
  <si>
    <t>5x1,5</t>
  </si>
  <si>
    <t>Steckdosen Bett/Tür</t>
  </si>
  <si>
    <t>Steckdosen Fenster/TV</t>
  </si>
  <si>
    <t>Steckdosen hinter Tür</t>
  </si>
  <si>
    <t>Steckdosen TV/Süd-Ost</t>
  </si>
  <si>
    <t>Steckdose Ost</t>
  </si>
  <si>
    <t>Steckdose Nord (bei Küche)</t>
  </si>
  <si>
    <t>Steckdosen Küche</t>
  </si>
  <si>
    <t>5x2,5</t>
  </si>
  <si>
    <t>FI-Schalter</t>
  </si>
  <si>
    <t>Netzwerks./KNX-Netzteil</t>
  </si>
  <si>
    <t>Sicherungskasten Bestückung</t>
  </si>
  <si>
    <t>5x1,5:</t>
  </si>
  <si>
    <t>3x1,5:</t>
  </si>
  <si>
    <t>7x1,5:</t>
  </si>
  <si>
    <t>5x2,5:</t>
  </si>
  <si>
    <t>FI4</t>
  </si>
  <si>
    <t>Summe: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</si>
</sst>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\ &quot;von 20&quot;"/>
    <numFmt numFmtId="165" formatCode="_-* #,##0.00\ [$€-407]_-;\-* #,##0.00\ [$€-407]_-;_-* &quot;-&quot;??\ [$€-407]_-;_-@_-"/>
    <numFmt numFmtId="166" formatCode="&quot;F&quot;0"/>
    <numFmt numFmtId="167" formatCode="&quot;FI&quot;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71">
    <xf numFmtId="0" fontId="0" fillId="0" borderId="0" xfId="0"/>
    <xf numFmtId="44" fontId="0" fillId="0" borderId="0" xfId="1" applyFont="1"/>
    <xf numFmtId="0" fontId="2" fillId="0" borderId="0" xfId="2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textRotation="90"/>
    </xf>
    <xf numFmtId="0" fontId="4" fillId="2" borderId="1" xfId="0" applyFont="1" applyFill="1" applyBorder="1" applyAlignment="1">
      <alignment horizontal="left" textRotation="90"/>
    </xf>
    <xf numFmtId="0" fontId="4" fillId="2" borderId="0" xfId="0" applyFont="1" applyFill="1" applyAlignment="1">
      <alignment horizontal="left" textRotation="90"/>
    </xf>
    <xf numFmtId="0" fontId="2" fillId="0" borderId="0" xfId="2"/>
    <xf numFmtId="0" fontId="0" fillId="0" borderId="0" xfId="0" applyAlignment="1">
      <alignment horizontal="left" wrapText="1"/>
    </xf>
    <xf numFmtId="0" fontId="2" fillId="0" borderId="0" xfId="2" applyFill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textRotation="90" wrapText="1"/>
    </xf>
    <xf numFmtId="0" fontId="0" fillId="0" borderId="0" xfId="0" applyAlignment="1">
      <alignment horizontal="right" vertical="center"/>
    </xf>
    <xf numFmtId="0" fontId="4" fillId="2" borderId="0" xfId="0" applyFont="1" applyFill="1" applyBorder="1" applyAlignment="1">
      <alignment horizontal="left" textRotation="90"/>
    </xf>
    <xf numFmtId="164" fontId="0" fillId="0" borderId="3" xfId="0" applyNumberFormat="1" applyBorder="1"/>
    <xf numFmtId="44" fontId="0" fillId="0" borderId="0" xfId="0" applyNumberFormat="1"/>
    <xf numFmtId="1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/>
    <xf numFmtId="0" fontId="0" fillId="0" borderId="9" xfId="0" applyBorder="1" applyAlignment="1"/>
    <xf numFmtId="0" fontId="0" fillId="0" borderId="8" xfId="0" applyFill="1" applyBorder="1" applyAlignment="1"/>
    <xf numFmtId="0" fontId="0" fillId="0" borderId="12" xfId="0" applyFill="1" applyBorder="1" applyAlignment="1"/>
    <xf numFmtId="0" fontId="0" fillId="0" borderId="9" xfId="0" applyFill="1" applyBorder="1" applyAlignment="1"/>
    <xf numFmtId="0" fontId="0" fillId="0" borderId="0" xfId="0" applyFill="1" applyBorder="1" applyAlignment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5" xfId="0" applyFill="1" applyBorder="1"/>
    <xf numFmtId="0" fontId="0" fillId="5" borderId="2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8" xfId="0" applyFill="1" applyBorder="1"/>
    <xf numFmtId="0" fontId="0" fillId="0" borderId="0" xfId="0" applyFill="1" applyAlignment="1"/>
    <xf numFmtId="0" fontId="7" fillId="3" borderId="13" xfId="0" applyFont="1" applyFill="1" applyBorder="1" applyAlignment="1">
      <alignment horizontal="center"/>
    </xf>
    <xf numFmtId="0" fontId="7" fillId="0" borderId="6" xfId="0" applyFont="1" applyBorder="1"/>
    <xf numFmtId="0" fontId="7" fillId="0" borderId="0" xfId="0" applyFont="1" applyBorder="1"/>
    <xf numFmtId="0" fontId="7" fillId="0" borderId="7" xfId="0" applyFont="1" applyBorder="1"/>
    <xf numFmtId="0" fontId="0" fillId="3" borderId="9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3" borderId="16" xfId="0" applyFill="1" applyBorder="1" applyAlignment="1"/>
    <xf numFmtId="0" fontId="0" fillId="3" borderId="4" xfId="0" applyFill="1" applyBorder="1" applyAlignment="1"/>
    <xf numFmtId="0" fontId="0" fillId="0" borderId="11" xfId="0" applyFill="1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3" xfId="0" applyFill="1" applyBorder="1" applyAlignment="1"/>
    <xf numFmtId="166" fontId="0" fillId="0" borderId="0" xfId="0" applyNumberFormat="1"/>
    <xf numFmtId="166" fontId="0" fillId="0" borderId="14" xfId="0" applyNumberForma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13" xfId="0" applyFill="1" applyBorder="1"/>
    <xf numFmtId="166" fontId="0" fillId="3" borderId="14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3" borderId="12" xfId="0" applyFill="1" applyBorder="1"/>
    <xf numFmtId="0" fontId="0" fillId="3" borderId="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166" fontId="0" fillId="3" borderId="7" xfId="0" applyNumberFormat="1" applyFill="1" applyBorder="1" applyAlignment="1">
      <alignment horizontal="center"/>
    </xf>
    <xf numFmtId="166" fontId="0" fillId="0" borderId="14" xfId="0" applyNumberFormat="1" applyFill="1" applyBorder="1" applyAlignment="1">
      <alignment horizontal="center"/>
    </xf>
    <xf numFmtId="166" fontId="0" fillId="3" borderId="13" xfId="0" applyNumberFormat="1" applyFill="1" applyBorder="1" applyAlignment="1">
      <alignment horizontal="center" vertical="center"/>
    </xf>
    <xf numFmtId="0" fontId="0" fillId="0" borderId="0" xfId="0" applyAlignment="1"/>
    <xf numFmtId="0" fontId="0" fillId="3" borderId="10" xfId="0" applyFill="1" applyBorder="1" applyAlignment="1"/>
    <xf numFmtId="0" fontId="0" fillId="3" borderId="10" xfId="0" applyFill="1" applyBorder="1" applyAlignment="1">
      <alignment vertical="center"/>
    </xf>
    <xf numFmtId="0" fontId="0" fillId="0" borderId="11" xfId="0" applyBorder="1" applyAlignment="1"/>
    <xf numFmtId="0" fontId="0" fillId="3" borderId="12" xfId="0" applyFill="1" applyBorder="1" applyAlignment="1"/>
    <xf numFmtId="0" fontId="0" fillId="0" borderId="10" xfId="0" applyBorder="1" applyAlignment="1"/>
    <xf numFmtId="0" fontId="0" fillId="3" borderId="8" xfId="0" applyFill="1" applyBorder="1" applyAlignment="1"/>
    <xf numFmtId="0" fontId="0" fillId="0" borderId="16" xfId="0" applyBorder="1" applyAlignment="1"/>
    <xf numFmtId="0" fontId="0" fillId="0" borderId="15" xfId="0" applyBorder="1" applyAlignment="1"/>
    <xf numFmtId="0" fontId="0" fillId="3" borderId="2" xfId="0" applyFill="1" applyBorder="1"/>
    <xf numFmtId="0" fontId="0" fillId="3" borderId="6" xfId="0" applyFill="1" applyBorder="1"/>
    <xf numFmtId="0" fontId="0" fillId="3" borderId="4" xfId="0" applyFill="1" applyBorder="1"/>
    <xf numFmtId="166" fontId="0" fillId="0" borderId="10" xfId="0" applyNumberFormat="1" applyBorder="1" applyAlignment="1">
      <alignment horizontal="left"/>
    </xf>
    <xf numFmtId="166" fontId="0" fillId="0" borderId="0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0" fillId="3" borderId="13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166" fontId="0" fillId="0" borderId="5" xfId="0" applyNumberFormat="1" applyFill="1" applyBorder="1" applyAlignment="1">
      <alignment horizontal="center"/>
    </xf>
    <xf numFmtId="166" fontId="0" fillId="3" borderId="15" xfId="0" applyNumberFormat="1" applyFill="1" applyBorder="1" applyAlignment="1">
      <alignment horizontal="center" vertical="center"/>
    </xf>
    <xf numFmtId="0" fontId="0" fillId="3" borderId="9" xfId="0" applyFill="1" applyBorder="1"/>
    <xf numFmtId="0" fontId="0" fillId="3" borderId="15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4" borderId="10" xfId="0" applyFill="1" applyBorder="1"/>
    <xf numFmtId="0" fontId="0" fillId="4" borderId="0" xfId="0" applyFill="1" applyBorder="1"/>
    <xf numFmtId="0" fontId="0" fillId="4" borderId="11" xfId="0" applyFill="1" applyBorder="1"/>
    <xf numFmtId="0" fontId="0" fillId="5" borderId="10" xfId="0" applyFill="1" applyBorder="1"/>
    <xf numFmtId="0" fontId="0" fillId="5" borderId="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0" borderId="0" xfId="0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0" xfId="0" applyAlignment="1">
      <alignment horizontal="center" textRotation="90"/>
    </xf>
    <xf numFmtId="0" fontId="0" fillId="0" borderId="11" xfId="0" applyBorder="1" applyAlignment="1">
      <alignment horizontal="center" textRotation="90"/>
    </xf>
    <xf numFmtId="0" fontId="5" fillId="3" borderId="8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6" fillId="3" borderId="8" xfId="0" applyFont="1" applyFill="1" applyBorder="1" applyAlignment="1"/>
    <xf numFmtId="0" fontId="6" fillId="3" borderId="9" xfId="0" applyFont="1" applyFill="1" applyBorder="1" applyAlignment="1"/>
    <xf numFmtId="0" fontId="0" fillId="3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166" fontId="0" fillId="3" borderId="15" xfId="0" applyNumberFormat="1" applyFill="1" applyBorder="1" applyAlignment="1">
      <alignment horizontal="center" vertical="center"/>
    </xf>
    <xf numFmtId="166" fontId="0" fillId="3" borderId="14" xfId="0" applyNumberFormat="1" applyFill="1" applyBorder="1" applyAlignment="1">
      <alignment horizontal="center" vertical="center"/>
    </xf>
    <xf numFmtId="166" fontId="0" fillId="0" borderId="14" xfId="0" applyNumberFormat="1" applyFill="1" applyBorder="1" applyAlignment="1">
      <alignment horizontal="center" vertical="center"/>
    </xf>
    <xf numFmtId="166" fontId="0" fillId="0" borderId="15" xfId="0" applyNumberFormat="1" applyFill="1" applyBorder="1" applyAlignment="1">
      <alignment horizontal="center" vertical="center"/>
    </xf>
    <xf numFmtId="166" fontId="0" fillId="0" borderId="16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top"/>
    </xf>
    <xf numFmtId="0" fontId="0" fillId="3" borderId="6" xfId="0" applyFill="1" applyBorder="1" applyAlignment="1">
      <alignment horizontal="center" vertical="top"/>
    </xf>
    <xf numFmtId="0" fontId="0" fillId="3" borderId="16" xfId="0" applyFill="1" applyBorder="1" applyAlignment="1">
      <alignment horizontal="center" vertical="top"/>
    </xf>
    <xf numFmtId="0" fontId="0" fillId="0" borderId="14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top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0" borderId="14" xfId="0" applyFill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3" borderId="7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15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49" fontId="0" fillId="0" borderId="17" xfId="0" applyNumberFormat="1" applyFont="1" applyBorder="1"/>
  </cellXfs>
  <cellStyles count="3">
    <cellStyle name="Link" xfId="2" builtinId="8"/>
    <cellStyle name="Standard" xfId="0" builtinId="0"/>
    <cellStyle name="Währung" xfId="1" builtinId="4"/>
  </cellStyles>
  <dxfs count="38"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9696"/>
        </patternFill>
      </fill>
    </dxf>
    <dxf>
      <numFmt numFmtId="165" formatCode="_-* #,##0.00\ [$€-407]_-;\-* #,##0.00\ [$€-407]_-;_-* &quot;-&quot;??\ [$€-407]_-;_-@_-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fill>
        <patternFill patternType="solid">
          <fgColor indexed="64"/>
          <bgColor theme="5" tint="0.59999389629810485"/>
        </patternFill>
      </fill>
    </dxf>
    <dxf>
      <border outline="0">
        <top style="medium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numFmt numFmtId="166" formatCode="&quot;F&quot;0"/>
      <alignment horizontal="left" vertical="bottom" textRotation="0" wrapText="0" indent="0" justifyLastLine="0" shrinkToFit="0" readingOrder="0"/>
    </dxf>
    <dxf>
      <numFmt numFmtId="167" formatCode="&quot;FI&quot;0"/>
      <alignment horizontal="left" vertical="bottom" textRotation="0" wrapText="0" indent="0" justifyLastLine="0" shrinkToFit="0" readingOrder="0"/>
    </dxf>
    <dxf>
      <numFmt numFmtId="166" formatCode="&quot;F&quot;0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left" vertical="bottom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9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F9696"/>
      <color rgb="FFFF5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03A8-96BD-4E09-BF02-3DEFE14EA902}" name="Tabelle1" displayName="Tabelle1" ref="A4:T21" totalsRowCount="1" headerRowDxfId="37">
  <autoFilter ref="A4:T20" xr:uid="{96AC54A7-3AF8-4232-A7CA-7456C1206A29}">
    <filterColumn colId="8">
      <filters>
        <filter val="Tür"/>
      </filters>
    </filterColumn>
  </autoFilter>
  <sortState xmlns:xlrd2="http://schemas.microsoft.com/office/spreadsheetml/2017/richdata2" ref="A5:T20">
    <sortCondition ref="A4:A20"/>
  </sortState>
  <tableColumns count="20">
    <tableColumn id="1" xr3:uid="{F5042A58-498A-4C97-BACF-B3C8328DBC5F}" name="Bezeichnung"/>
    <tableColumn id="18" xr3:uid="{EBD698E9-BE7C-4EEA-BF83-B807A3FE3703}" name="Kanäle pro Gerät"/>
    <tableColumn id="20" xr3:uid="{48770584-C7A0-4EFF-A5AB-7C1C84E8310E}" name="Kanäle gesamt" dataDxfId="36">
      <calculatedColumnFormula>Tabelle1[[#This Row],[Kanäle pro Gerät]]*Tabelle1[[#This Row],[Menge KNX-Geräte]]</calculatedColumnFormula>
    </tableColumn>
    <tableColumn id="16" xr3:uid="{FAF1D32A-393A-44C7-BE68-7B040F6D94CE}" name="TE"/>
    <tableColumn id="19" xr3:uid="{D57E5FC7-9060-4F5D-BEF2-3E71373B4491}" name="Platzbedarf" dataDxfId="35">
      <calculatedColumnFormula>Tabelle1[[#This Row],[TE]]*SUM(Tabelle1[[#This Row],[Küche]:[Klo]])</calculatedColumnFormula>
    </tableColumn>
    <tableColumn id="7" xr3:uid="{0CA81A17-BA15-4983-A8A2-0242A8B6B19B}" name="Herstellernummer" dataDxfId="34"/>
    <tableColumn id="4" xr3:uid="{4718EDFC-681A-42DA-B15F-DB810E8C969C}" name="Preis" dataCellStyle="Währung"/>
    <tableColumn id="3" xr3:uid="{4FF9F7BA-61AC-46A6-97D4-0F99D7290E70}" name="Preis/Kanal" dataDxfId="33" dataCellStyle="Währung">
      <calculatedColumnFormula>IF(Tabelle1[[#This Row],[Kanäle pro Gerät]]&gt;1,Tabelle1[[#This Row],[Preis]]/Tabelle1[[#This Row],[Kanäle pro Gerät]],"")</calculatedColumnFormula>
    </tableColumn>
    <tableColumn id="5" xr3:uid="{A4E90C18-896F-4852-8F34-1136052F1D04}" name="Kategorie"/>
    <tableColumn id="2" xr3:uid="{6085A278-C5F2-4B9B-81ED-75AC44992D6A}" name="Küche" dataDxfId="32"/>
    <tableColumn id="9" xr3:uid="{71B99BB4-E121-4AC6-B2CC-B8283468FBBB}" name="Esszimmer" dataDxfId="31"/>
    <tableColumn id="10" xr3:uid="{E4662B22-8FAD-414C-AAE6-B24E2CAB28D4}" name="Wohnzimmer" dataDxfId="30"/>
    <tableColumn id="11" xr3:uid="{204170EB-6A51-4091-9F43-2BB5DD265154}" name="Speis" dataDxfId="29"/>
    <tableColumn id="12" xr3:uid="{18FF780B-8CBB-488D-B52A-5E6374864CB2}" name="Bad" dataDxfId="28"/>
    <tableColumn id="13" xr3:uid="{57EE2B1E-BB13-46B9-B6BC-CF4F5FCCDB66}" name="Gang" dataDxfId="27"/>
    <tableColumn id="14" xr3:uid="{E92F9A3C-E1C5-4882-916E-DA389241E99B}" name="Schalafzimmer" dataDxfId="26"/>
    <tableColumn id="15" xr3:uid="{3799BA4D-FAD2-475F-B312-0E659992795D}" name="Klo" dataDxfId="25"/>
    <tableColumn id="17" xr3:uid="{17A122D9-4F1D-40D7-A3F8-16439D99B479}" name="KNX-fähig"/>
    <tableColumn id="6" xr3:uid="{12170A0C-6A62-4A83-B4B9-2C3B5CC64F58}" name="Menge KNX-Geräte" dataDxfId="24">
      <calculatedColumnFormula>IF(Tabelle1[[#This Row],[KNX-fähig]]=1,SUM(Tabelle1[[#This Row],[Küche]:[Klo]]),0)</calculatedColumnFormula>
    </tableColumn>
    <tableColumn id="8" xr3:uid="{E30A86F8-AD60-4262-90C1-41270FEC02A0}" name="Endpreis" totalsRowFunction="sum" dataDxfId="23" totalsRowDxfId="12" dataCellStyle="Währung">
      <calculatedColumnFormula>SUM(Tabelle1[[#This Row],[Küche]:[Klo]])*Tabelle1[[#This Row],[Preis]]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202F-2E12-4951-852F-9E886146E92D}" name="Tabelle2" displayName="Tabelle2" ref="A2:K6" totalsRowShown="0" headerRowDxfId="22">
  <autoFilter ref="A2:K6" xr:uid="{64997CFE-B058-4B80-8521-0376DB419888}"/>
  <tableColumns count="11">
    <tableColumn id="1" xr3:uid="{A1D940C5-2DB8-4D38-B7EB-A7046EC82315}" name="Raum"/>
    <tableColumn id="2" xr3:uid="{DDF37692-0B97-4EFA-A254-501428F98AC7}" name="Küche"/>
    <tableColumn id="3" xr3:uid="{0CC211E9-3E8B-4225-8060-D732679A1D25}" name="Esszimmer"/>
    <tableColumn id="4" xr3:uid="{B0776194-2185-4A16-BB15-3EBC5FD9646A}" name="Wohnzimmer"/>
    <tableColumn id="5" xr3:uid="{8C8ADB2C-52AC-486F-9B7F-0CE92A14546B}" name="Speis"/>
    <tableColumn id="6" xr3:uid="{37719EDB-C601-4604-9CE6-3E19F4DC3B38}" name="Bad"/>
    <tableColumn id="7" xr3:uid="{07E1B0C6-C411-4574-8D01-297094ADFF8E}" name="Gang"/>
    <tableColumn id="8" xr3:uid="{523F6610-FD02-45F2-B727-E43C97AB7701}" name="Schalafzimmer"/>
    <tableColumn id="9" xr3:uid="{439EBBEB-C21F-4366-B359-B750404A6C1C}" name="Klo"/>
    <tableColumn id="11" xr3:uid="{21D0A73C-1259-4B5E-9160-E7893ABAD12E}" name="Hof"/>
    <tableColumn id="10" xr3:uid="{3550BC49-49F6-41E8-A343-46EDD7312783}" name="Summe" dataDxfId="21">
      <calculatedColumnFormula>SUM(Tabelle2[[#This Row],[Küche]:[Hof]])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94BBB-F518-4C7C-98BC-BC0E1FBAE5DF}" name="Tabelle3" displayName="Tabelle3" ref="A1:F4">
  <autoFilter ref="A1:F4" xr:uid="{2EE5AB28-B397-43CB-900D-A5B522ECDF9C}"/>
  <tableColumns count="6">
    <tableColumn id="1" xr3:uid="{4DA6D9DF-2A14-4891-9CC3-08E42535F812}" name="Datum" totalsRowLabel="Ergebnis"/>
    <tableColumn id="2" xr3:uid="{A2802040-74DD-489D-83C4-558D72967D5F}" name="Händler" dataDxfId="10"/>
    <tableColumn id="6" xr3:uid="{5EE9FC28-C66B-4A96-9BA9-8280EC2E6589}" name="Kategorie" dataDxfId="9"/>
    <tableColumn id="3" xr3:uid="{BD741B7D-FC24-407C-91C4-67731AA078DF}" name="Beschreibung" dataDxfId="8"/>
    <tableColumn id="4" xr3:uid="{A87B7F3E-D2EF-4CAF-A80F-6E407E6EC1B1}" name="Konto" dataDxfId="7"/>
    <tableColumn id="5" xr3:uid="{82BE7E6D-F523-4932-9103-8E1EB61BB46A}" name="Betrag" dataDxfId="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657587-3E37-4A65-A013-77ED026E6ABE}" name="Tabelle5" displayName="Tabelle5" ref="A4:B20" totalsRowShown="0" tableBorderDxfId="20">
  <autoFilter ref="A4:B20" xr:uid="{8D3440E7-7103-4E13-938B-6563FE17ADEB}">
    <filterColumn colId="0" hiddenButton="1"/>
    <filterColumn colId="1" hiddenButton="1"/>
  </autoFilter>
  <tableColumns count="2">
    <tableColumn id="1" xr3:uid="{889BB60A-C5CD-4C50-8C4D-B8EA00865712}" name="Sicherung" dataDxfId="19"/>
    <tableColumn id="2" xr3:uid="{760E9B89-0BB7-47E2-8509-992788952963}" name="Bedeutung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028B4D-E5D6-4BC6-935E-269ABFC6E58A}" name="Tabelle6" displayName="Tabelle6" ref="A22:B24" totalsRowShown="0">
  <autoFilter ref="A22:B24" xr:uid="{0603E42E-2BDC-41BB-BA9B-443E8715DAB2}">
    <filterColumn colId="0" hiddenButton="1"/>
    <filterColumn colId="1" hiddenButton="1"/>
  </autoFilter>
  <tableColumns count="2">
    <tableColumn id="1" xr3:uid="{C75C45D7-6E82-47C1-9D22-8DC8526DC380}" name="FI-Schalter" dataDxfId="18"/>
    <tableColumn id="2" xr3:uid="{8F5F84E9-AF7C-4B5D-96C1-BB8C94138AFB}" name="Sicherunge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CA82E5-DC9C-4955-A13C-8BC52178E421}" name="Tabelle7" displayName="Tabelle7" ref="A26:B29" totalsRowShown="0">
  <autoFilter ref="A26:B29" xr:uid="{55BA6280-5B48-46A6-9CC2-9B528A4C333C}">
    <filterColumn colId="0" hiddenButton="1"/>
    <filterColumn colId="1" hiddenButton="1"/>
  </autoFilter>
  <tableColumns count="2">
    <tableColumn id="1" xr3:uid="{29C5F34A-2EE8-4911-8154-58ECE7697A9F}" name="FI-LS-Kombi" dataDxfId="17"/>
    <tableColumn id="2" xr3:uid="{B436E4CC-00C3-46A9-827F-97474B7858D8}" name="Funktion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F405C4-4F52-4E13-99F5-FDF0B1B38A61}" name="Tabelle8" displayName="Tabelle8" ref="A32:C50" totalsRowCount="1" headerRowDxfId="16" headerRowBorderDxfId="15" tableBorderDxfId="14">
  <autoFilter ref="A32:C49" xr:uid="{9E4B1A0D-90F0-4924-B3E2-B58FE9303BFF}">
    <filterColumn colId="0" hiddenButton="1"/>
    <filterColumn colId="1" hiddenButton="1"/>
    <filterColumn colId="2" hiddenButton="1"/>
  </autoFilter>
  <tableColumns count="3">
    <tableColumn id="1" xr3:uid="{00B3F241-78A3-4F9C-AF00-CBDC243FE5E4}" name="Sicherung" totalsRowLabel="Ergebnis"/>
    <tableColumn id="2" xr3:uid="{835CF6EE-7AF9-49AC-AE74-8032DB43E190}" name="Bedeutung"/>
    <tableColumn id="3" xr3:uid="{3DC8E3F1-166E-40DF-9A4E-F4F7BDB94B12}" name="TE" totalsRowFunction="sum" dataDxfId="13" totalsRowDxfId="1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voltus.de/?cl=details&amp;anid=2304aacb1bfc0b83b97f47c42c83dfa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voltus.de/hausautomation/knx-eib/nach-hersteller/mdt/linienkoppler-usb-ip-interface/mdt-scn-ip000-03-ip-interface-2te-reg-mit-email-und-zeitserverfunktion.html" TargetMode="External"/><Relationship Id="rId7" Type="http://schemas.openxmlformats.org/officeDocument/2006/relationships/hyperlink" Target="https://www.voltus.de/?cl=details&amp;anid=dc7d3d94598bcca1b0cb6028bb0a05ee" TargetMode="External"/><Relationship Id="rId12" Type="http://schemas.openxmlformats.org/officeDocument/2006/relationships/hyperlink" Target="https://www.voltus.de/mdt-be-ta5504-g1-taster-55mm-up-4-fach.html" TargetMode="External"/><Relationship Id="rId2" Type="http://schemas.openxmlformats.org/officeDocument/2006/relationships/hyperlink" Target="https://www.voltus.de/hausautomation/knx-eib/nach-hersteller/mdt/spannungsversorgung/mdt-stv-0640-02-busspannungsversorgung-4te-reg-640ma.html" TargetMode="External"/><Relationship Id="rId1" Type="http://schemas.openxmlformats.org/officeDocument/2006/relationships/hyperlink" Target="https://www.voltus.de/hausautomation/knx-eib/nach-hersteller/mdt/jalousieaktoren-o/mdt-jal-0810-02-jalousieaktor-8te-reg-10a-230vac-8-fach.html" TargetMode="External"/><Relationship Id="rId6" Type="http://schemas.openxmlformats.org/officeDocument/2006/relationships/hyperlink" Target="https://www.voltus.de/hausautomation/knx-eib/nach-hersteller/mdt/dimmaktoren/mdt-akd-0401-02-dimmaktor-6te-reg-250w-230vac-mit-wirkleistungsmessung-4-fach.html" TargetMode="External"/><Relationship Id="rId11" Type="http://schemas.openxmlformats.org/officeDocument/2006/relationships/hyperlink" Target="https://www.voltus.de/?cl=details&amp;anid=8746f1082341567c555d4c0297b09a8c" TargetMode="External"/><Relationship Id="rId5" Type="http://schemas.openxmlformats.org/officeDocument/2006/relationships/hyperlink" Target="https://www.voltus.de/hausautomation/knx-eib/nach-hersteller/mdt/heizungsaktoren/mdt-akh-0600-02-heizungsaktor-3te-reg-24-230vac-6-fach.html" TargetMode="External"/><Relationship Id="rId10" Type="http://schemas.openxmlformats.org/officeDocument/2006/relationships/hyperlink" Target="https://www.voltus.de/mdt-akd-0410v-02-dimmaktor-4-fach-4te-reg-1-10v-mit-rgbw.html" TargetMode="External"/><Relationship Id="rId4" Type="http://schemas.openxmlformats.org/officeDocument/2006/relationships/hyperlink" Target="https://www.voltus.de/hausautomation/knx-eib/nach-hersteller/mdt/tastsensoren-o/mdt-be-gt2tw-01-glastaster-ii-smart-mit-6-sensorflaechen-weiss.html" TargetMode="External"/><Relationship Id="rId9" Type="http://schemas.openxmlformats.org/officeDocument/2006/relationships/hyperlink" Target="https://www.voltus.de/?cl=details&amp;anid=ea869f4ece28ac6a9ce097b829bba53e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786F-74ED-4B47-9A9F-B84A1C0EAFA8}">
  <sheetPr codeName="Tabelle1"/>
  <dimension ref="A1:V25"/>
  <sheetViews>
    <sheetView zoomScaleNormal="100" workbookViewId="0">
      <selection activeCell="H26" sqref="H26"/>
    </sheetView>
  </sheetViews>
  <sheetFormatPr baseColWidth="10" defaultRowHeight="15" outlineLevelCol="2" x14ac:dyDescent="0.25"/>
  <cols>
    <col min="1" max="1" width="33.85546875" bestFit="1" customWidth="1"/>
    <col min="2" max="3" width="6" hidden="1" customWidth="1" outlineLevel="2"/>
    <col min="4" max="5" width="5.28515625" hidden="1" customWidth="1" outlineLevel="2"/>
    <col min="6" max="6" width="71.85546875" customWidth="1" outlineLevel="1" collapsed="1"/>
    <col min="7" max="7" width="9.42578125" customWidth="1" outlineLevel="1"/>
    <col min="8" max="8" width="9.42578125" bestFit="1" customWidth="1" outlineLevel="1"/>
    <col min="9" max="9" width="8.140625" bestFit="1" customWidth="1"/>
    <col min="10" max="17" width="6" hidden="1" customWidth="1" outlineLevel="1"/>
    <col min="18" max="18" width="6" bestFit="1" customWidth="1" collapsed="1"/>
    <col min="19" max="19" width="9.5703125" bestFit="1" customWidth="1"/>
    <col min="20" max="20" width="11" bestFit="1" customWidth="1"/>
    <col min="21" max="21" width="26.7109375" bestFit="1" customWidth="1"/>
    <col min="22" max="22" width="11" bestFit="1" customWidth="1"/>
  </cols>
  <sheetData>
    <row r="1" spans="1:20" x14ac:dyDescent="0.25">
      <c r="A1" s="116" t="s">
        <v>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</row>
    <row r="2" spans="1:20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</row>
    <row r="4" spans="1:20" s="3" customFormat="1" ht="82.5" x14ac:dyDescent="0.25">
      <c r="A4" s="3" t="s">
        <v>1</v>
      </c>
      <c r="B4" s="16" t="s">
        <v>56</v>
      </c>
      <c r="C4" s="16" t="s">
        <v>57</v>
      </c>
      <c r="D4" s="16" t="s">
        <v>48</v>
      </c>
      <c r="E4" s="16" t="s">
        <v>52</v>
      </c>
      <c r="F4" s="3" t="s">
        <v>4</v>
      </c>
      <c r="G4" s="4" t="s">
        <v>2</v>
      </c>
      <c r="H4" s="4" t="s">
        <v>124</v>
      </c>
      <c r="I4" s="4" t="s">
        <v>3</v>
      </c>
      <c r="J4" s="4" t="s">
        <v>24</v>
      </c>
      <c r="K4" s="4" t="s">
        <v>25</v>
      </c>
      <c r="L4" s="4" t="s">
        <v>26</v>
      </c>
      <c r="M4" s="4" t="s">
        <v>27</v>
      </c>
      <c r="N4" s="4" t="s">
        <v>28</v>
      </c>
      <c r="O4" s="4" t="s">
        <v>29</v>
      </c>
      <c r="P4" s="4" t="s">
        <v>30</v>
      </c>
      <c r="Q4" s="4" t="s">
        <v>31</v>
      </c>
      <c r="R4" s="4" t="s">
        <v>44</v>
      </c>
      <c r="S4" s="8" t="s">
        <v>45</v>
      </c>
      <c r="T4" s="3" t="s">
        <v>17</v>
      </c>
    </row>
    <row r="5" spans="1:20" hidden="1" x14ac:dyDescent="0.25">
      <c r="A5" t="s">
        <v>39</v>
      </c>
      <c r="B5">
        <v>4</v>
      </c>
      <c r="C5">
        <f>Tabelle1[[#This Row],[Kanäle pro Gerät]]*Tabelle1[[#This Row],[Menge KNX-Geräte]]</f>
        <v>16</v>
      </c>
      <c r="D5">
        <v>0</v>
      </c>
      <c r="E5">
        <f>Tabelle1[[#This Row],[TE]]*SUM(Tabelle1[[#This Row],[Küche]:[Klo]])</f>
        <v>0</v>
      </c>
      <c r="F5" s="7" t="s">
        <v>38</v>
      </c>
      <c r="G5" s="1">
        <v>54.21</v>
      </c>
      <c r="H5" s="1">
        <f>IF(Tabelle1[[#This Row],[Kanäle pro Gerät]]&gt;1,Tabelle1[[#This Row],[Preis]]/Tabelle1[[#This Row],[Kanäle pro Gerät]],"")</f>
        <v>13.5525</v>
      </c>
      <c r="I5" t="s">
        <v>13</v>
      </c>
      <c r="J5" s="11">
        <v>1</v>
      </c>
      <c r="K5" s="11"/>
      <c r="L5" s="11">
        <v>1</v>
      </c>
      <c r="M5" s="11"/>
      <c r="N5" s="11"/>
      <c r="O5" s="11"/>
      <c r="P5" s="11">
        <v>2</v>
      </c>
      <c r="Q5" s="11"/>
      <c r="R5">
        <v>1</v>
      </c>
      <c r="S5">
        <f>IF(Tabelle1[[#This Row],[KNX-fähig]]=1,SUM(Tabelle1[[#This Row],[Küche]:[Klo]]),0)</f>
        <v>4</v>
      </c>
      <c r="T5" s="1">
        <f>SUM(Tabelle1[[#This Row],[Küche]:[Klo]])*Tabelle1[[#This Row],[Preis]]</f>
        <v>216.84</v>
      </c>
    </row>
    <row r="6" spans="1:20" hidden="1" x14ac:dyDescent="0.25">
      <c r="A6" t="s">
        <v>37</v>
      </c>
      <c r="B6">
        <v>6</v>
      </c>
      <c r="C6">
        <f>Tabelle1[[#This Row],[Kanäle pro Gerät]]*Tabelle1[[#This Row],[Menge KNX-Geräte]]</f>
        <v>6</v>
      </c>
      <c r="D6">
        <v>0</v>
      </c>
      <c r="E6">
        <f>Tabelle1[[#This Row],[TE]]*SUM(Tabelle1[[#This Row],[Küche]:[Klo]])</f>
        <v>0</v>
      </c>
      <c r="F6" s="2" t="s">
        <v>41</v>
      </c>
      <c r="G6" s="1">
        <v>51.16</v>
      </c>
      <c r="H6" s="1">
        <f>IF(Tabelle1[[#This Row],[Kanäle pro Gerät]]&gt;1,Tabelle1[[#This Row],[Preis]]/Tabelle1[[#This Row],[Kanäle pro Gerät]],"")</f>
        <v>8.5266666666666655</v>
      </c>
      <c r="I6" t="s">
        <v>13</v>
      </c>
      <c r="J6" s="11"/>
      <c r="K6" s="11"/>
      <c r="L6" s="11"/>
      <c r="M6" s="11"/>
      <c r="N6" s="11"/>
      <c r="O6" s="11">
        <v>1</v>
      </c>
      <c r="P6" s="11"/>
      <c r="Q6" s="11"/>
      <c r="R6">
        <v>1</v>
      </c>
      <c r="S6">
        <f>IF(Tabelle1[[#This Row],[KNX-fähig]]=1,SUM(Tabelle1[[#This Row],[Küche]:[Klo]]),0)</f>
        <v>1</v>
      </c>
      <c r="T6" s="1">
        <f>SUM(Tabelle1[[#This Row],[Küche]:[Klo]])*Tabelle1[[#This Row],[Preis]]</f>
        <v>51.16</v>
      </c>
    </row>
    <row r="7" spans="1:20" hidden="1" x14ac:dyDescent="0.25">
      <c r="A7" t="s">
        <v>46</v>
      </c>
      <c r="B7">
        <v>4</v>
      </c>
      <c r="C7">
        <f>Tabelle1[[#This Row],[Kanäle pro Gerät]]*Tabelle1[[#This Row],[Menge KNX-Geräte]]</f>
        <v>4</v>
      </c>
      <c r="D7">
        <v>6</v>
      </c>
      <c r="E7">
        <f>Tabelle1[[#This Row],[TE]]*SUM(Tabelle1[[#This Row],[Küche]:[Klo]])</f>
        <v>6</v>
      </c>
      <c r="F7" s="2" t="s">
        <v>22</v>
      </c>
      <c r="G7" s="1">
        <v>249.69</v>
      </c>
      <c r="H7" s="1">
        <f>IF(Tabelle1[[#This Row],[Kanäle pro Gerät]]&gt;1,Tabelle1[[#This Row],[Preis]]/Tabelle1[[#This Row],[Kanäle pro Gerät]],"")</f>
        <v>62.422499999999999</v>
      </c>
      <c r="I7" t="s">
        <v>16</v>
      </c>
      <c r="J7" s="11"/>
      <c r="K7" s="11"/>
      <c r="L7" s="11"/>
      <c r="M7" s="11"/>
      <c r="N7" s="11"/>
      <c r="O7" s="11">
        <v>1</v>
      </c>
      <c r="P7" s="11"/>
      <c r="Q7" s="11"/>
      <c r="R7">
        <v>1</v>
      </c>
      <c r="S7">
        <f>IF(Tabelle1[[#This Row],[KNX-fähig]]=1,SUM(Tabelle1[[#This Row],[Küche]:[Klo]]),0)</f>
        <v>1</v>
      </c>
      <c r="T7" s="1">
        <f>SUM(Tabelle1[[#This Row],[Küche]:[Klo]])*Tabelle1[[#This Row],[Preis]]</f>
        <v>249.69</v>
      </c>
    </row>
    <row r="8" spans="1:20" hidden="1" x14ac:dyDescent="0.25">
      <c r="A8" t="s">
        <v>10</v>
      </c>
      <c r="B8">
        <v>4</v>
      </c>
      <c r="C8">
        <f>Tabelle1[[#This Row],[Kanäle pro Gerät]]*Tabelle1[[#This Row],[Menge KNX-Geräte]]</f>
        <v>4</v>
      </c>
      <c r="D8">
        <v>4</v>
      </c>
      <c r="E8">
        <f>Tabelle1[[#This Row],[TE]]*SUM(Tabelle1[[#This Row],[Küche]:[Klo]])</f>
        <v>4</v>
      </c>
      <c r="F8" s="2" t="s">
        <v>47</v>
      </c>
      <c r="G8" s="1">
        <v>140.07</v>
      </c>
      <c r="H8" s="1">
        <f>IF(Tabelle1[[#This Row],[Kanäle pro Gerät]]&gt;1,Tabelle1[[#This Row],[Preis]]/Tabelle1[[#This Row],[Kanäle pro Gerät]],"")</f>
        <v>35.017499999999998</v>
      </c>
      <c r="I8" t="s">
        <v>16</v>
      </c>
      <c r="J8" s="11"/>
      <c r="K8" s="11"/>
      <c r="L8" s="11"/>
      <c r="M8" s="11"/>
      <c r="N8" s="11"/>
      <c r="O8" s="11">
        <v>1</v>
      </c>
      <c r="P8" s="11"/>
      <c r="Q8" s="11"/>
      <c r="R8">
        <v>1</v>
      </c>
      <c r="S8">
        <f>IF(Tabelle1[[#This Row],[KNX-fähig]]=1,SUM(Tabelle1[[#This Row],[Küche]:[Klo]]),0)</f>
        <v>1</v>
      </c>
      <c r="T8" s="1">
        <f>SUM(Tabelle1[[#This Row],[Küche]:[Klo]])*Tabelle1[[#This Row],[Preis]]</f>
        <v>140.07</v>
      </c>
    </row>
    <row r="9" spans="1:20" hidden="1" x14ac:dyDescent="0.25">
      <c r="A9" t="s">
        <v>6</v>
      </c>
      <c r="B9">
        <v>1</v>
      </c>
      <c r="C9">
        <f>Tabelle1[[#This Row],[Kanäle pro Gerät]]*Tabelle1[[#This Row],[Menge KNX-Geräte]]</f>
        <v>1</v>
      </c>
      <c r="D9">
        <v>2</v>
      </c>
      <c r="E9">
        <f>Tabelle1[[#This Row],[TE]]*SUM(Tabelle1[[#This Row],[Küche]:[Klo]])</f>
        <v>2</v>
      </c>
      <c r="F9" s="2" t="s">
        <v>19</v>
      </c>
      <c r="G9" s="1">
        <v>143.21</v>
      </c>
      <c r="H9" s="1" t="str">
        <f>IF(Tabelle1[[#This Row],[Kanäle pro Gerät]]&gt;1,Tabelle1[[#This Row],[Preis]]/Tabelle1[[#This Row],[Kanäle pro Gerät]],"")</f>
        <v/>
      </c>
      <c r="I9" t="s">
        <v>13</v>
      </c>
      <c r="J9" s="11"/>
      <c r="K9" s="11"/>
      <c r="L9" s="11"/>
      <c r="M9" s="11"/>
      <c r="N9" s="11"/>
      <c r="O9" s="11">
        <v>1</v>
      </c>
      <c r="P9" s="11"/>
      <c r="Q9" s="11"/>
      <c r="R9">
        <v>1</v>
      </c>
      <c r="S9">
        <f>IF(Tabelle1[[#This Row],[KNX-fähig]]=1,SUM(Tabelle1[[#This Row],[Küche]:[Klo]]),0)</f>
        <v>1</v>
      </c>
      <c r="T9" s="1">
        <f>SUM(Tabelle1[[#This Row],[Küche]:[Klo]])*Tabelle1[[#This Row],[Preis]]</f>
        <v>143.21</v>
      </c>
    </row>
    <row r="10" spans="1:20" x14ac:dyDescent="0.25">
      <c r="A10" t="s">
        <v>59</v>
      </c>
      <c r="B10">
        <v>4</v>
      </c>
      <c r="C10">
        <f>Tabelle1[[#This Row],[Kanäle pro Gerät]]*Tabelle1[[#This Row],[Menge KNX-Geräte]]</f>
        <v>4</v>
      </c>
      <c r="D10">
        <v>1</v>
      </c>
      <c r="E10">
        <f>Tabelle1[[#This Row],[TE]]*SUM(Tabelle1[[#This Row],[Küche]:[Klo]])</f>
        <v>1</v>
      </c>
      <c r="F10" s="2" t="s">
        <v>60</v>
      </c>
      <c r="G10" s="1">
        <v>413.23</v>
      </c>
      <c r="H10" s="1">
        <f>IF(Tabelle1[[#This Row],[Kanäle pro Gerät]]&gt;1,Tabelle1[[#This Row],[Preis]]/Tabelle1[[#This Row],[Kanäle pro Gerät]],"")</f>
        <v>103.3075</v>
      </c>
      <c r="I10" t="s">
        <v>61</v>
      </c>
      <c r="J10" s="11"/>
      <c r="K10" s="11"/>
      <c r="L10" s="11"/>
      <c r="M10" s="11"/>
      <c r="N10" s="11"/>
      <c r="O10" s="11">
        <v>1</v>
      </c>
      <c r="P10" s="11"/>
      <c r="Q10" s="11"/>
      <c r="R10">
        <v>1</v>
      </c>
      <c r="S10">
        <f>IF(Tabelle1[[#This Row],[KNX-fähig]]=1,SUM(Tabelle1[[#This Row],[Küche]:[Klo]]),0)</f>
        <v>1</v>
      </c>
      <c r="T10" s="1">
        <f>SUM(Tabelle1[[#This Row],[Küche]:[Klo]])*Tabelle1[[#This Row],[Preis]]</f>
        <v>413.23</v>
      </c>
    </row>
    <row r="11" spans="1:20" x14ac:dyDescent="0.25">
      <c r="A11" t="s">
        <v>62</v>
      </c>
      <c r="B11">
        <v>4</v>
      </c>
      <c r="C11">
        <f>Tabelle1[[#This Row],[Kanäle pro Gerät]]*Tabelle1[[#This Row],[Menge KNX-Geräte]]</f>
        <v>0</v>
      </c>
      <c r="D11">
        <v>4</v>
      </c>
      <c r="E11">
        <f>Tabelle1[[#This Row],[TE]]*SUM(Tabelle1[[#This Row],[Küche]:[Klo]])</f>
        <v>4</v>
      </c>
      <c r="F11" s="2" t="s">
        <v>63</v>
      </c>
      <c r="G11" s="1">
        <v>465.13</v>
      </c>
      <c r="H11" s="1">
        <f>IF(Tabelle1[[#This Row],[Kanäle pro Gerät]]&gt;1,Tabelle1[[#This Row],[Preis]]/Tabelle1[[#This Row],[Kanäle pro Gerät]],"")</f>
        <v>116.2825</v>
      </c>
      <c r="I11" t="s">
        <v>61</v>
      </c>
      <c r="J11" s="11"/>
      <c r="K11" s="11"/>
      <c r="L11" s="11"/>
      <c r="M11" s="11"/>
      <c r="N11" s="11"/>
      <c r="O11" s="11">
        <v>1</v>
      </c>
      <c r="P11" s="11"/>
      <c r="Q11" s="11"/>
      <c r="R11">
        <v>0</v>
      </c>
      <c r="S11">
        <f>IF(Tabelle1[[#This Row],[KNX-fähig]]=1,SUM(Tabelle1[[#This Row],[Küche]:[Klo]]),0)</f>
        <v>0</v>
      </c>
      <c r="T11" s="1">
        <f>SUM(Tabelle1[[#This Row],[Küche]:[Klo]])*Tabelle1[[#This Row],[Preis]]</f>
        <v>465.13</v>
      </c>
    </row>
    <row r="12" spans="1:20" x14ac:dyDescent="0.25">
      <c r="A12" t="s">
        <v>64</v>
      </c>
      <c r="B12">
        <v>1</v>
      </c>
      <c r="C12">
        <f>Tabelle1[[#This Row],[Kanäle pro Gerät]]*Tabelle1[[#This Row],[Menge KNX-Geräte]]</f>
        <v>0</v>
      </c>
      <c r="D12">
        <v>0</v>
      </c>
      <c r="E12">
        <f>Tabelle1[[#This Row],[TE]]*SUM(Tabelle1[[#This Row],[Küche]:[Klo]])</f>
        <v>0</v>
      </c>
      <c r="F12" s="2" t="s">
        <v>65</v>
      </c>
      <c r="G12" s="1">
        <v>403</v>
      </c>
      <c r="H12" s="1" t="str">
        <f>IF(Tabelle1[[#This Row],[Kanäle pro Gerät]]&gt;1,Tabelle1[[#This Row],[Preis]]/Tabelle1[[#This Row],[Kanäle pro Gerät]],"")</f>
        <v/>
      </c>
      <c r="I12" t="s">
        <v>61</v>
      </c>
      <c r="J12" s="11"/>
      <c r="K12" s="11"/>
      <c r="L12" s="11"/>
      <c r="M12" s="11"/>
      <c r="N12" s="11"/>
      <c r="O12" s="11">
        <v>2</v>
      </c>
      <c r="P12" s="11"/>
      <c r="Q12" s="11"/>
      <c r="S12">
        <f>IF(Tabelle1[[#This Row],[KNX-fähig]]=1,SUM(Tabelle1[[#This Row],[Küche]:[Klo]]),0)</f>
        <v>0</v>
      </c>
      <c r="T12" s="1">
        <f>SUM(Tabelle1[[#This Row],[Küche]:[Klo]])*Tabelle1[[#This Row],[Preis]]</f>
        <v>806</v>
      </c>
    </row>
    <row r="13" spans="1:20" hidden="1" x14ac:dyDescent="0.25">
      <c r="A13" t="s">
        <v>9</v>
      </c>
      <c r="B13">
        <v>8</v>
      </c>
      <c r="C13">
        <f>Tabelle1[[#This Row],[Kanäle pro Gerät]]*Tabelle1[[#This Row],[Menge KNX-Geräte]]</f>
        <v>8</v>
      </c>
      <c r="D13">
        <v>8</v>
      </c>
      <c r="E13">
        <f>Tabelle1[[#This Row],[TE]]*SUM(Tabelle1[[#This Row],[Küche]:[Klo]])</f>
        <v>8</v>
      </c>
      <c r="F13" s="2" t="s">
        <v>11</v>
      </c>
      <c r="G13" s="1">
        <v>216.2</v>
      </c>
      <c r="H13" s="1">
        <f>IF(Tabelle1[[#This Row],[Kanäle pro Gerät]]&gt;1,Tabelle1[[#This Row],[Preis]]/Tabelle1[[#This Row],[Kanäle pro Gerät]],"")</f>
        <v>27.024999999999999</v>
      </c>
      <c r="I13" t="s">
        <v>12</v>
      </c>
      <c r="J13" s="11"/>
      <c r="K13" s="11"/>
      <c r="L13" s="11"/>
      <c r="M13" s="11"/>
      <c r="N13" s="11"/>
      <c r="O13" s="11">
        <v>1</v>
      </c>
      <c r="P13" s="11"/>
      <c r="Q13" s="11"/>
      <c r="R13">
        <v>1</v>
      </c>
      <c r="S13">
        <f>IF(Tabelle1[[#This Row],[KNX-fähig]]=1,SUM(Tabelle1[[#This Row],[Küche]:[Klo]]),0)</f>
        <v>1</v>
      </c>
      <c r="T13" s="1">
        <f>SUM(Tabelle1[[#This Row],[Küche]:[Klo]])*Tabelle1[[#This Row],[Preis]]</f>
        <v>216.2</v>
      </c>
    </row>
    <row r="14" spans="1:20" hidden="1" x14ac:dyDescent="0.25">
      <c r="A14" t="s">
        <v>14</v>
      </c>
      <c r="B14">
        <v>6</v>
      </c>
      <c r="C14">
        <f>Tabelle1[[#This Row],[Kanäle pro Gerät]]*Tabelle1[[#This Row],[Menge KNX-Geräte]]</f>
        <v>24</v>
      </c>
      <c r="D14">
        <v>0</v>
      </c>
      <c r="E14">
        <f>Tabelle1[[#This Row],[TE]]*SUM(Tabelle1[[#This Row],[Küche]:[Klo]])</f>
        <v>0</v>
      </c>
      <c r="F14" s="2" t="s">
        <v>20</v>
      </c>
      <c r="G14" s="1">
        <v>137.63</v>
      </c>
      <c r="H14" s="1">
        <f>IF(Tabelle1[[#This Row],[Kanäle pro Gerät]]&gt;1,Tabelle1[[#This Row],[Preis]]/Tabelle1[[#This Row],[Kanäle pro Gerät]],"")</f>
        <v>22.938333333333333</v>
      </c>
      <c r="I14" t="s">
        <v>13</v>
      </c>
      <c r="J14" s="11"/>
      <c r="K14" s="11">
        <v>1</v>
      </c>
      <c r="L14" s="11">
        <v>1</v>
      </c>
      <c r="M14" s="11"/>
      <c r="N14" s="11">
        <v>1</v>
      </c>
      <c r="O14" s="11"/>
      <c r="P14" s="11">
        <v>1</v>
      </c>
      <c r="Q14" s="11"/>
      <c r="R14">
        <v>1</v>
      </c>
      <c r="S14">
        <f>IF(Tabelle1[[#This Row],[KNX-fähig]]=1,SUM(Tabelle1[[#This Row],[Küche]:[Klo]]),0)</f>
        <v>4</v>
      </c>
      <c r="T14" s="1">
        <f>SUM(Tabelle1[[#This Row],[Küche]:[Klo]])*Tabelle1[[#This Row],[Preis]]</f>
        <v>550.52</v>
      </c>
    </row>
    <row r="15" spans="1:20" hidden="1" x14ac:dyDescent="0.25">
      <c r="A15" t="s">
        <v>8</v>
      </c>
      <c r="B15">
        <v>6</v>
      </c>
      <c r="C15">
        <f>Tabelle1[[#This Row],[Kanäle pro Gerät]]*Tabelle1[[#This Row],[Menge KNX-Geräte]]</f>
        <v>6</v>
      </c>
      <c r="D15">
        <v>3</v>
      </c>
      <c r="E15">
        <f>Tabelle1[[#This Row],[TE]]*SUM(Tabelle1[[#This Row],[Küche]:[Klo]])</f>
        <v>3</v>
      </c>
      <c r="F15" s="2" t="s">
        <v>21</v>
      </c>
      <c r="G15" s="1">
        <v>121.2</v>
      </c>
      <c r="H15" s="1">
        <f>IF(Tabelle1[[#This Row],[Kanäle pro Gerät]]&gt;1,Tabelle1[[#This Row],[Preis]]/Tabelle1[[#This Row],[Kanäle pro Gerät]],"")</f>
        <v>20.2</v>
      </c>
      <c r="I15" t="s">
        <v>15</v>
      </c>
      <c r="J15" s="11"/>
      <c r="K15" s="11"/>
      <c r="L15" s="11"/>
      <c r="M15" s="11"/>
      <c r="N15" s="11"/>
      <c r="O15" s="11">
        <v>1</v>
      </c>
      <c r="P15" s="11"/>
      <c r="Q15" s="11"/>
      <c r="R15">
        <v>1</v>
      </c>
      <c r="S15">
        <f>IF(Tabelle1[[#This Row],[KNX-fähig]]=1,SUM(Tabelle1[[#This Row],[Küche]:[Klo]]),0)</f>
        <v>1</v>
      </c>
      <c r="T15" s="1">
        <f>SUM(Tabelle1[[#This Row],[Küche]:[Klo]])*Tabelle1[[#This Row],[Preis]]</f>
        <v>121.2</v>
      </c>
    </row>
    <row r="16" spans="1:20" hidden="1" x14ac:dyDescent="0.25">
      <c r="A16" t="s">
        <v>32</v>
      </c>
      <c r="B16">
        <v>16</v>
      </c>
      <c r="C16">
        <f>Tabelle1[[#This Row],[Kanäle pro Gerät]]*Tabelle1[[#This Row],[Menge KNX-Geräte]]</f>
        <v>16</v>
      </c>
      <c r="D16">
        <v>8</v>
      </c>
      <c r="E16">
        <f>Tabelle1[[#This Row],[TE]]*SUM(Tabelle1[[#This Row],[Küche]:[Klo]])</f>
        <v>8</v>
      </c>
      <c r="F16" s="2" t="s">
        <v>40</v>
      </c>
      <c r="G16" s="1">
        <v>237.51</v>
      </c>
      <c r="H16" s="1">
        <f>IF(Tabelle1[[#This Row],[Kanäle pro Gerät]]&gt;1,Tabelle1[[#This Row],[Preis]]/Tabelle1[[#This Row],[Kanäle pro Gerät]],"")</f>
        <v>14.844374999999999</v>
      </c>
      <c r="I16" t="s">
        <v>13</v>
      </c>
      <c r="J16" s="11"/>
      <c r="K16" s="11"/>
      <c r="L16" s="11"/>
      <c r="M16" s="11"/>
      <c r="N16" s="11"/>
      <c r="O16" s="11">
        <v>1</v>
      </c>
      <c r="P16" s="11"/>
      <c r="Q16" s="11"/>
      <c r="R16">
        <v>1</v>
      </c>
      <c r="S16">
        <f>IF(Tabelle1[[#This Row],[KNX-fähig]]=1,SUM(Tabelle1[[#This Row],[Küche]:[Klo]]),0)</f>
        <v>1</v>
      </c>
      <c r="T16" s="1">
        <f>SUM(Tabelle1[[#This Row],[Küche]:[Klo]])*Tabelle1[[#This Row],[Preis]]</f>
        <v>237.51</v>
      </c>
    </row>
    <row r="17" spans="1:22" hidden="1" x14ac:dyDescent="0.25">
      <c r="A17" t="s">
        <v>7</v>
      </c>
      <c r="B17">
        <v>1</v>
      </c>
      <c r="C17">
        <f>Tabelle1[[#This Row],[Kanäle pro Gerät]]*Tabelle1[[#This Row],[Menge KNX-Geräte]]</f>
        <v>0</v>
      </c>
      <c r="D17">
        <v>0</v>
      </c>
      <c r="E17">
        <f>Tabelle1[[#This Row],[TE]]*SUM(Tabelle1[[#This Row],[Küche]:[Klo]])</f>
        <v>0</v>
      </c>
      <c r="F17" s="2" t="s">
        <v>23</v>
      </c>
      <c r="G17" s="1">
        <v>26.27</v>
      </c>
      <c r="H17" s="1" t="str">
        <f>IF(Tabelle1[[#This Row],[Kanäle pro Gerät]]&gt;1,Tabelle1[[#This Row],[Preis]]/Tabelle1[[#This Row],[Kanäle pro Gerät]],"")</f>
        <v/>
      </c>
      <c r="I17" t="s">
        <v>15</v>
      </c>
      <c r="J17" s="11"/>
      <c r="K17" s="11">
        <v>1</v>
      </c>
      <c r="L17" s="11">
        <v>1</v>
      </c>
      <c r="M17" s="11"/>
      <c r="N17" s="11">
        <v>1</v>
      </c>
      <c r="O17" s="11">
        <v>1</v>
      </c>
      <c r="P17" s="11">
        <v>1</v>
      </c>
      <c r="Q17" s="11"/>
      <c r="R17">
        <v>0</v>
      </c>
      <c r="S17">
        <f>IF(Tabelle1[[#This Row],[KNX-fähig]]=1,SUM(Tabelle1[[#This Row],[Küche]:[Klo]]),0)</f>
        <v>0</v>
      </c>
      <c r="T17" s="1">
        <f>SUM(Tabelle1[[#This Row],[Küche]:[Klo]])*Tabelle1[[#This Row],[Preis]]</f>
        <v>131.35</v>
      </c>
    </row>
    <row r="18" spans="1:22" hidden="1" x14ac:dyDescent="0.25">
      <c r="A18" t="s">
        <v>42</v>
      </c>
      <c r="B18">
        <v>8</v>
      </c>
      <c r="C18">
        <f>Tabelle1[[#This Row],[Kanäle pro Gerät]]*Tabelle1[[#This Row],[Menge KNX-Geräte]]</f>
        <v>8</v>
      </c>
      <c r="D18">
        <v>4</v>
      </c>
      <c r="E18">
        <f>Tabelle1[[#This Row],[TE]]*SUM(Tabelle1[[#This Row],[Küche]:[Klo]])</f>
        <v>4</v>
      </c>
      <c r="F18" s="2" t="s">
        <v>125</v>
      </c>
      <c r="G18" s="1">
        <v>186.7</v>
      </c>
      <c r="H18" s="1">
        <f>IF(Tabelle1[[#This Row],[Kanäle pro Gerät]]&gt;1,Tabelle1[[#This Row],[Preis]]/Tabelle1[[#This Row],[Kanäle pro Gerät]],"")</f>
        <v>23.337499999999999</v>
      </c>
      <c r="I18" t="s">
        <v>13</v>
      </c>
      <c r="J18" s="11"/>
      <c r="K18" s="11"/>
      <c r="L18" s="11"/>
      <c r="M18" s="11"/>
      <c r="N18" s="11"/>
      <c r="O18" s="11">
        <v>1</v>
      </c>
      <c r="P18" s="11"/>
      <c r="Q18" s="11"/>
      <c r="R18">
        <v>1</v>
      </c>
      <c r="S18">
        <f>IF(Tabelle1[[#This Row],[KNX-fähig]]=1,SUM(Tabelle1[[#This Row],[Küche]:[Klo]]),0)</f>
        <v>1</v>
      </c>
      <c r="T18" s="1">
        <f>SUM(Tabelle1[[#This Row],[Küche]:[Klo]])*Tabelle1[[#This Row],[Preis]]</f>
        <v>186.7</v>
      </c>
    </row>
    <row r="19" spans="1:22" hidden="1" x14ac:dyDescent="0.25">
      <c r="A19" t="s">
        <v>42</v>
      </c>
      <c r="B19">
        <v>24</v>
      </c>
      <c r="C19">
        <f>Tabelle1[[#This Row],[Kanäle pro Gerät]]*Tabelle1[[#This Row],[Menge KNX-Geräte]]</f>
        <v>24</v>
      </c>
      <c r="D19">
        <v>12</v>
      </c>
      <c r="E19">
        <f>Tabelle1[[#This Row],[TE]]*SUM(Tabelle1[[#This Row],[Küche]:[Klo]])</f>
        <v>12</v>
      </c>
      <c r="F19" s="9" t="s">
        <v>43</v>
      </c>
      <c r="G19" s="1">
        <v>336.17</v>
      </c>
      <c r="H19" s="1">
        <f>IF(Tabelle1[[#This Row],[Kanäle pro Gerät]]&gt;1,Tabelle1[[#This Row],[Preis]]/Tabelle1[[#This Row],[Kanäle pro Gerät]],"")</f>
        <v>14.007083333333334</v>
      </c>
      <c r="I19" t="s">
        <v>13</v>
      </c>
      <c r="J19" s="11"/>
      <c r="K19" s="11"/>
      <c r="L19" s="11"/>
      <c r="M19" s="11"/>
      <c r="N19" s="11"/>
      <c r="O19" s="11">
        <v>1</v>
      </c>
      <c r="P19" s="11"/>
      <c r="Q19" s="11"/>
      <c r="R19">
        <v>1</v>
      </c>
      <c r="S19">
        <f>IF(Tabelle1[[#This Row],[KNX-fähig]]=1,SUM(Tabelle1[[#This Row],[Küche]:[Klo]]),0)</f>
        <v>1</v>
      </c>
      <c r="T19" s="1">
        <f>SUM(Tabelle1[[#This Row],[Küche]:[Klo]])*Tabelle1[[#This Row],[Preis]]</f>
        <v>336.17</v>
      </c>
    </row>
    <row r="20" spans="1:22" hidden="1" x14ac:dyDescent="0.25">
      <c r="A20" t="s">
        <v>5</v>
      </c>
      <c r="B20">
        <v>1</v>
      </c>
      <c r="C20">
        <f>Tabelle1[[#This Row],[Kanäle pro Gerät]]*Tabelle1[[#This Row],[Menge KNX-Geräte]]</f>
        <v>1</v>
      </c>
      <c r="D20">
        <v>4</v>
      </c>
      <c r="E20">
        <f>Tabelle1[[#This Row],[TE]]*SUM(Tabelle1[[#This Row],[Küche]:[Klo]])</f>
        <v>4</v>
      </c>
      <c r="F20" s="2" t="s">
        <v>18</v>
      </c>
      <c r="G20" s="1">
        <v>149.81</v>
      </c>
      <c r="H20" s="1" t="str">
        <f>IF(Tabelle1[[#This Row],[Kanäle pro Gerät]]&gt;1,Tabelle1[[#This Row],[Preis]]/Tabelle1[[#This Row],[Kanäle pro Gerät]],"")</f>
        <v/>
      </c>
      <c r="I20" t="s">
        <v>13</v>
      </c>
      <c r="J20" s="11"/>
      <c r="K20" s="11"/>
      <c r="L20" s="11"/>
      <c r="M20" s="11"/>
      <c r="N20" s="11"/>
      <c r="O20" s="11">
        <v>1</v>
      </c>
      <c r="P20" s="11"/>
      <c r="Q20" s="11"/>
      <c r="R20">
        <v>1</v>
      </c>
      <c r="S20">
        <f>IF(Tabelle1[[#This Row],[KNX-fähig]]=1,SUM(Tabelle1[[#This Row],[Küche]:[Klo]]),0)</f>
        <v>1</v>
      </c>
      <c r="T20" s="1">
        <f>SUM(Tabelle1[[#This Row],[Küche]:[Klo]])*Tabelle1[[#This Row],[Preis]]</f>
        <v>149.81</v>
      </c>
    </row>
    <row r="21" spans="1:22" ht="15.75" thickBot="1" x14ac:dyDescent="0.3">
      <c r="T21" s="20">
        <f>SUBTOTAL(109,Tabelle1[Endpreis])</f>
        <v>1684.3600000000001</v>
      </c>
    </row>
    <row r="22" spans="1:22" x14ac:dyDescent="0.25">
      <c r="U22" s="12" t="s">
        <v>53</v>
      </c>
      <c r="V22" s="19">
        <f>SUBTOTAL(109,Tabelle1[Menge KNX-Geräte])</f>
        <v>1</v>
      </c>
    </row>
    <row r="23" spans="1:22" ht="15.75" thickBot="1" x14ac:dyDescent="0.3">
      <c r="U23" s="14" t="s">
        <v>54</v>
      </c>
      <c r="V23" s="15">
        <f>SUBTOTAL(109,Tabelle1[Platzbedarf])</f>
        <v>5</v>
      </c>
    </row>
    <row r="24" spans="1:22" x14ac:dyDescent="0.25">
      <c r="U24" s="12" t="s">
        <v>50</v>
      </c>
      <c r="V24" s="13">
        <f>Schaltstellen!K3+Schaltstellen!K5+Schaltstellen!K6*2</f>
        <v>28</v>
      </c>
    </row>
    <row r="25" spans="1:22" ht="15.75" thickBot="1" x14ac:dyDescent="0.3">
      <c r="U25" s="14" t="s">
        <v>51</v>
      </c>
      <c r="V25" s="15">
        <f>Schaltstellen!K4</f>
        <v>4</v>
      </c>
    </row>
  </sheetData>
  <mergeCells count="1">
    <mergeCell ref="A1:T2"/>
  </mergeCells>
  <phoneticPr fontId="3" type="noConversion"/>
  <conditionalFormatting sqref="U22:V22">
    <cfRule type="cellIs" dxfId="5" priority="6" operator="between">
      <formula>21</formula>
      <formula>10000</formula>
    </cfRule>
  </conditionalFormatting>
  <conditionalFormatting sqref="V24">
    <cfRule type="cellIs" dxfId="4" priority="3" operator="lessThanOrEqual">
      <formula>$C$19+$C$18</formula>
    </cfRule>
    <cfRule type="cellIs" dxfId="3" priority="5" operator="greaterThan">
      <formula>$C$19+$C$18</formula>
    </cfRule>
  </conditionalFormatting>
  <conditionalFormatting sqref="V25">
    <cfRule type="cellIs" dxfId="2" priority="2" operator="lessThanOrEqual">
      <formula>$C$8</formula>
    </cfRule>
    <cfRule type="cellIs" dxfId="1" priority="4" operator="greaterThan">
      <formula>$C$8</formula>
    </cfRule>
  </conditionalFormatting>
  <conditionalFormatting sqref="V22">
    <cfRule type="cellIs" dxfId="0" priority="1" operator="lessThanOrEqual">
      <formula>20</formula>
    </cfRule>
  </conditionalFormatting>
  <hyperlinks>
    <hyperlink ref="F13" r:id="rId1" tooltip="MDT JAL-0810.02 Jalousieaktor 8TE REG 10A 230VAC 8-fach" display="https://www.voltus.de/hausautomation/knx-eib/nach-hersteller/mdt/jalousieaktoren-o/mdt-jal-0810-02-jalousieaktor-8te-reg-10a-230vac-8-fach.html" xr:uid="{E5F4C422-F1FA-453E-A08A-9ECCDC6FCD6B}"/>
    <hyperlink ref="F20" r:id="rId2" tooltip="MDT STV-0640.02 Busspannungsversorgung 4TE REG 640mA " display="https://www.voltus.de/hausautomation/knx-eib/nach-hersteller/mdt/spannungsversorgung/mdt-stv-0640-02-busspannungsversorgung-4te-reg-640ma.html" xr:uid="{81F3E89C-8D36-489C-9F86-4596235CF013}"/>
    <hyperlink ref="F9" r:id="rId3" tooltip="MDT SCN-IP000.03 IP Interface 2TE REG mit Email und Zeitserverfunktion " display="https://www.voltus.de/hausautomation/knx-eib/nach-hersteller/mdt/linienkoppler-usb-ip-interface/mdt-scn-ip000-03-ip-interface-2te-reg-mit-email-und-zeitserverfunktion.html" xr:uid="{D41FC865-619D-4E1A-8832-E52C053C4D8B}"/>
    <hyperlink ref="F14" r:id="rId4" tooltip="MDT BE-GT2TW.01 Glastaster II Smart mit 6 Sensorflächen Weiß" display="https://www.voltus.de/hausautomation/knx-eib/nach-hersteller/mdt/tastsensoren-o/mdt-be-gt2tw-01-glastaster-ii-smart-mit-6-sensorflaechen-weiss.html" xr:uid="{5E9101E6-79FC-40AB-B2F1-A4FA5363F5A9}"/>
    <hyperlink ref="F15" r:id="rId5" tooltip="MDT AKH-0600.02 Heizungsaktor 3TE REG 24-230VAC 6-fach" display="https://www.voltus.de/hausautomation/knx-eib/nach-hersteller/mdt/heizungsaktoren/mdt-akh-0600-02-heizungsaktor-3te-reg-24-230vac-6-fach.html" xr:uid="{DC9A9F9B-849D-41AB-AE04-7B5B9F0DB6C9}"/>
    <hyperlink ref="F7" r:id="rId6" tooltip="MDT AKD-0401.02 Dimmaktor 6TE REG 250W 230VAC mit Wirkleistungsmessung 4-fach" display="https://www.voltus.de/hausautomation/knx-eib/nach-hersteller/mdt/dimmaktoren/mdt-akd-0401-02-dimmaktor-6te-reg-250w-230vac-mit-wirkleistungsmessung-4-fach.html" xr:uid="{784BF359-713B-48A6-AECD-9924909651E5}"/>
    <hyperlink ref="F17" r:id="rId7" display="https://www.voltus.de/?cl=details&amp;anid=dc7d3d94598bcca1b0cb6028bb0a05ee" xr:uid="{A682DA0F-3E44-499B-BB59-0919BCDE1553}"/>
    <hyperlink ref="F16" r:id="rId8" xr:uid="{67C0BD22-D810-495F-95F5-ADC5830CA0E1}"/>
    <hyperlink ref="F19" r:id="rId9" xr:uid="{F1963553-1BC3-4BB4-AEBB-7B63B658A6FF}"/>
    <hyperlink ref="F8" r:id="rId10" xr:uid="{322D3756-C7FE-4DC0-8BB0-BD7F62E556B8}"/>
    <hyperlink ref="F6" r:id="rId11" xr:uid="{8C7B5C84-AA0F-4B32-98B8-1F68910195E5}"/>
    <hyperlink ref="F5" r:id="rId12" xr:uid="{5CBE72F8-1445-455B-A8F0-68D2CDCFEA5F}"/>
  </hyperlinks>
  <pageMargins left="0.7" right="0.7" top="0.78740157499999996" bottom="0.78740157499999996" header="0.3" footer="0.3"/>
  <pageSetup paperSize="9" orientation="portrait" horizontalDpi="300" verticalDpi="300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19D-FE12-4271-8CB7-38306EB28B0C}">
  <sheetPr codeName="Tabelle2"/>
  <dimension ref="A2:K6"/>
  <sheetViews>
    <sheetView workbookViewId="0">
      <selection activeCell="D9" sqref="D9"/>
    </sheetView>
  </sheetViews>
  <sheetFormatPr baseColWidth="10" defaultRowHeight="15" x14ac:dyDescent="0.25"/>
  <cols>
    <col min="1" max="1" width="17.5703125" bestFit="1" customWidth="1"/>
    <col min="2" max="9" width="6" bestFit="1" customWidth="1"/>
    <col min="10" max="10" width="6" customWidth="1"/>
    <col min="11" max="11" width="6" bestFit="1" customWidth="1"/>
    <col min="14" max="14" width="22.7109375" bestFit="1" customWidth="1"/>
  </cols>
  <sheetData>
    <row r="2" spans="1:11" ht="73.5" x14ac:dyDescent="0.25">
      <c r="A2" s="17" t="s">
        <v>55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18" t="s">
        <v>58</v>
      </c>
      <c r="K2" s="6" t="s">
        <v>36</v>
      </c>
    </row>
    <row r="3" spans="1:11" x14ac:dyDescent="0.25">
      <c r="A3" t="s">
        <v>33</v>
      </c>
      <c r="B3">
        <v>2</v>
      </c>
      <c r="C3">
        <v>2</v>
      </c>
      <c r="D3">
        <v>2</v>
      </c>
      <c r="F3">
        <v>1</v>
      </c>
      <c r="G3">
        <v>1</v>
      </c>
      <c r="H3">
        <v>2</v>
      </c>
      <c r="J3">
        <v>1</v>
      </c>
      <c r="K3">
        <f>SUM(Tabelle2[[#This Row],[Küche]:[Hof]])</f>
        <v>11</v>
      </c>
    </row>
    <row r="4" spans="1:11" x14ac:dyDescent="0.25">
      <c r="A4" t="s">
        <v>34</v>
      </c>
      <c r="B4">
        <v>1</v>
      </c>
      <c r="D4">
        <v>1</v>
      </c>
      <c r="F4">
        <v>1</v>
      </c>
      <c r="H4">
        <v>1</v>
      </c>
      <c r="K4">
        <f>SUM(Tabelle2[[#This Row],[Küche]:[Hof]])</f>
        <v>4</v>
      </c>
    </row>
    <row r="5" spans="1:11" x14ac:dyDescent="0.25">
      <c r="A5" t="s">
        <v>35</v>
      </c>
      <c r="B5">
        <v>1</v>
      </c>
      <c r="C5">
        <v>3</v>
      </c>
      <c r="D5">
        <v>2</v>
      </c>
      <c r="H5">
        <v>1</v>
      </c>
      <c r="K5">
        <f>SUM(Tabelle2[[#This Row],[Küche]:[Hof]])</f>
        <v>7</v>
      </c>
    </row>
    <row r="6" spans="1:11" x14ac:dyDescent="0.25">
      <c r="A6" t="s">
        <v>49</v>
      </c>
      <c r="B6">
        <v>1</v>
      </c>
      <c r="C6">
        <v>2</v>
      </c>
      <c r="D6">
        <v>1</v>
      </c>
      <c r="H6">
        <v>1</v>
      </c>
      <c r="K6" s="10">
        <f>SUM(Tabelle2[[#This Row],[Küche]:[Hof]])</f>
        <v>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38B-CA97-415B-9D7B-EBA766BFF152}">
  <sheetPr codeName="Tabelle3"/>
  <dimension ref="A1:H4"/>
  <sheetViews>
    <sheetView tabSelected="1" workbookViewId="0">
      <selection activeCell="H9" sqref="H9"/>
    </sheetView>
  </sheetViews>
  <sheetFormatPr baseColWidth="10" defaultRowHeight="15" x14ac:dyDescent="0.25"/>
  <cols>
    <col min="1" max="1" width="10.140625" bestFit="1" customWidth="1"/>
    <col min="2" max="2" width="13" bestFit="1" customWidth="1"/>
    <col min="3" max="3" width="13" customWidth="1"/>
    <col min="4" max="4" width="31.7109375" bestFit="1" customWidth="1"/>
    <col min="5" max="5" width="13.7109375" bestFit="1" customWidth="1"/>
    <col min="6" max="6" width="9.42578125" bestFit="1" customWidth="1"/>
  </cols>
  <sheetData>
    <row r="1" spans="1:8" x14ac:dyDescent="0.25">
      <c r="A1" t="s">
        <v>67</v>
      </c>
      <c r="B1" t="s">
        <v>66</v>
      </c>
      <c r="C1" t="s">
        <v>3</v>
      </c>
      <c r="D1" t="s">
        <v>68</v>
      </c>
      <c r="E1" t="s">
        <v>69</v>
      </c>
      <c r="F1" t="s">
        <v>70</v>
      </c>
    </row>
    <row r="2" spans="1:8" x14ac:dyDescent="0.25">
      <c r="A2" s="21">
        <v>44168</v>
      </c>
      <c r="B2" s="23" t="s">
        <v>71</v>
      </c>
      <c r="C2" s="23" t="s">
        <v>74</v>
      </c>
      <c r="D2" s="23" t="s">
        <v>72</v>
      </c>
      <c r="E2" s="23" t="s">
        <v>73</v>
      </c>
      <c r="F2" s="22">
        <v>296.82</v>
      </c>
    </row>
    <row r="3" spans="1:8" x14ac:dyDescent="0.25">
      <c r="A3" s="21">
        <v>44181</v>
      </c>
      <c r="B3" s="23" t="s">
        <v>112</v>
      </c>
      <c r="C3" s="23" t="s">
        <v>74</v>
      </c>
      <c r="D3" s="23" t="s">
        <v>113</v>
      </c>
      <c r="E3" s="23" t="s">
        <v>73</v>
      </c>
      <c r="F3" s="22">
        <v>52.46</v>
      </c>
      <c r="H3" s="170" t="s">
        <v>191</v>
      </c>
    </row>
    <row r="4" spans="1:8" x14ac:dyDescent="0.25">
      <c r="A4" s="21">
        <v>44183</v>
      </c>
      <c r="B4" s="23" t="s">
        <v>167</v>
      </c>
      <c r="C4" s="23" t="s">
        <v>168</v>
      </c>
      <c r="D4" s="23" t="s">
        <v>169</v>
      </c>
      <c r="E4" s="23" t="s">
        <v>73</v>
      </c>
      <c r="F4" s="22">
        <v>255.49</v>
      </c>
      <c r="H4" s="170">
        <f>SUBTOTAL(109,Tabelle3[Betrag])</f>
        <v>604.77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F161-F071-4988-9777-7297A2D0610F}">
  <sheetPr codeName="Tabelle4"/>
  <dimension ref="A1:AC51"/>
  <sheetViews>
    <sheetView zoomScaleNormal="100" workbookViewId="0">
      <selection activeCell="V39" sqref="V39"/>
    </sheetView>
  </sheetViews>
  <sheetFormatPr baseColWidth="10" defaultRowHeight="15" x14ac:dyDescent="0.25"/>
  <cols>
    <col min="1" max="1" width="11.28515625" customWidth="1"/>
    <col min="2" max="2" width="24.5703125" customWidth="1"/>
    <col min="3" max="3" width="3.140625" bestFit="1" customWidth="1"/>
    <col min="4" max="4" width="4" style="11" customWidth="1"/>
    <col min="5" max="29" width="2.140625" customWidth="1"/>
  </cols>
  <sheetData>
    <row r="1" spans="1:29" ht="19.5" thickBot="1" x14ac:dyDescent="0.3">
      <c r="A1" s="117" t="s">
        <v>185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9"/>
    </row>
    <row r="2" spans="1:29" ht="6.6" customHeight="1" thickBot="1" x14ac:dyDescent="0.3">
      <c r="E2" s="128">
        <v>1</v>
      </c>
      <c r="J2" s="128">
        <v>6</v>
      </c>
      <c r="P2" s="128">
        <v>12</v>
      </c>
      <c r="R2" s="128">
        <v>13</v>
      </c>
      <c r="X2" s="128">
        <v>19</v>
      </c>
      <c r="AC2" s="128">
        <v>24</v>
      </c>
    </row>
    <row r="3" spans="1:29" ht="15.75" thickBot="1" x14ac:dyDescent="0.3">
      <c r="A3" s="135" t="s">
        <v>156</v>
      </c>
      <c r="B3" s="137"/>
      <c r="C3" s="37"/>
      <c r="E3" s="129"/>
      <c r="J3" s="129"/>
      <c r="P3" s="129"/>
      <c r="R3" s="129"/>
      <c r="X3" s="129"/>
      <c r="AC3" s="129"/>
    </row>
    <row r="4" spans="1:29" ht="15.75" thickBot="1" x14ac:dyDescent="0.3">
      <c r="A4" s="26" t="s">
        <v>80</v>
      </c>
      <c r="B4" s="26" t="s">
        <v>126</v>
      </c>
      <c r="E4" s="12"/>
      <c r="F4" s="29"/>
      <c r="G4" s="29"/>
      <c r="H4" s="29"/>
      <c r="I4" s="29"/>
      <c r="J4" s="29"/>
      <c r="K4" s="29"/>
      <c r="L4" s="29"/>
      <c r="M4" s="29"/>
      <c r="N4" s="29"/>
      <c r="O4" s="29"/>
      <c r="P4" s="13"/>
      <c r="R4" s="12"/>
      <c r="S4" s="29"/>
      <c r="T4" s="29"/>
      <c r="U4" s="29"/>
      <c r="V4" s="29"/>
      <c r="W4" s="29"/>
      <c r="X4" s="29"/>
      <c r="Y4" s="29"/>
      <c r="Z4" s="29"/>
      <c r="AA4" s="29"/>
      <c r="AB4" s="29"/>
      <c r="AC4" s="13"/>
    </row>
    <row r="5" spans="1:29" ht="15.75" thickBot="1" x14ac:dyDescent="0.3">
      <c r="A5" s="96">
        <v>1</v>
      </c>
      <c r="B5" s="29" t="s">
        <v>145</v>
      </c>
      <c r="C5" s="26"/>
      <c r="E5" s="24"/>
      <c r="F5" s="26"/>
      <c r="G5" s="26"/>
      <c r="H5" s="26"/>
      <c r="I5" s="26"/>
      <c r="J5" s="26"/>
      <c r="K5" s="26"/>
      <c r="L5" s="26"/>
      <c r="M5" s="26"/>
      <c r="N5" s="26"/>
      <c r="O5" s="26"/>
      <c r="P5" s="25"/>
      <c r="R5" s="24"/>
      <c r="S5" s="26"/>
      <c r="T5" s="26"/>
      <c r="U5" s="26"/>
      <c r="V5" s="26"/>
      <c r="W5" s="26"/>
      <c r="X5" s="26"/>
      <c r="Y5" s="26"/>
      <c r="Z5" s="26"/>
      <c r="AA5" s="26"/>
      <c r="AB5" s="26"/>
      <c r="AC5" s="25"/>
    </row>
    <row r="6" spans="1:29" ht="15.75" thickBot="1" x14ac:dyDescent="0.3">
      <c r="A6" s="97">
        <v>2</v>
      </c>
      <c r="B6" s="26" t="s">
        <v>132</v>
      </c>
      <c r="C6" s="26"/>
      <c r="D6" s="11">
        <v>1</v>
      </c>
      <c r="E6" s="125" t="s">
        <v>152</v>
      </c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7"/>
      <c r="R6" s="125" t="s">
        <v>154</v>
      </c>
      <c r="S6" s="126"/>
      <c r="T6" s="126"/>
      <c r="U6" s="126"/>
      <c r="V6" s="126"/>
      <c r="W6" s="127"/>
      <c r="X6" s="125" t="s">
        <v>155</v>
      </c>
      <c r="Y6" s="126"/>
      <c r="Z6" s="126"/>
      <c r="AA6" s="126"/>
      <c r="AB6" s="126"/>
      <c r="AC6" s="127"/>
    </row>
    <row r="7" spans="1:29" x14ac:dyDescent="0.25">
      <c r="A7" s="97">
        <v>3</v>
      </c>
      <c r="B7" s="26" t="s">
        <v>137</v>
      </c>
      <c r="C7" s="26"/>
      <c r="E7" s="24"/>
      <c r="F7" s="26"/>
      <c r="G7" s="26"/>
      <c r="H7" s="26"/>
      <c r="I7" s="26"/>
      <c r="J7" s="26"/>
      <c r="K7" s="26"/>
      <c r="L7" s="26"/>
      <c r="M7" s="26"/>
      <c r="N7" s="26"/>
      <c r="O7" s="26"/>
      <c r="P7" s="25"/>
      <c r="R7" s="24"/>
      <c r="S7" s="26"/>
      <c r="T7" s="26"/>
      <c r="U7" s="26"/>
      <c r="V7" s="26"/>
      <c r="W7" s="26"/>
      <c r="X7" s="26"/>
      <c r="Y7" s="26"/>
      <c r="Z7" s="26"/>
      <c r="AA7" s="26"/>
      <c r="AB7" s="26"/>
      <c r="AC7" s="25"/>
    </row>
    <row r="8" spans="1:29" ht="15.75" thickBot="1" x14ac:dyDescent="0.3">
      <c r="A8" s="97">
        <v>4</v>
      </c>
      <c r="B8" s="26" t="s">
        <v>135</v>
      </c>
      <c r="C8" s="26"/>
      <c r="E8" s="24"/>
      <c r="F8" s="26"/>
      <c r="G8" s="26"/>
      <c r="H8" s="26"/>
      <c r="I8" s="26"/>
      <c r="J8" s="26"/>
      <c r="K8" s="26"/>
      <c r="L8" s="26"/>
      <c r="M8" s="26"/>
      <c r="N8" s="26"/>
      <c r="O8" s="26"/>
      <c r="P8" s="25"/>
      <c r="R8" s="24"/>
      <c r="S8" s="26"/>
      <c r="T8" s="26"/>
      <c r="U8" s="26"/>
      <c r="V8" s="26"/>
      <c r="W8" s="26"/>
      <c r="X8" s="26"/>
      <c r="Y8" s="26"/>
      <c r="Z8" s="26"/>
      <c r="AA8" s="26"/>
      <c r="AB8" s="26"/>
      <c r="AC8" s="25"/>
    </row>
    <row r="9" spans="1:29" ht="15.75" thickBot="1" x14ac:dyDescent="0.3">
      <c r="A9" s="97">
        <v>5</v>
      </c>
      <c r="B9" s="26" t="s">
        <v>136</v>
      </c>
      <c r="C9" s="26"/>
      <c r="D9" s="11">
        <v>2</v>
      </c>
      <c r="E9" s="125" t="s">
        <v>152</v>
      </c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7"/>
      <c r="R9" s="125" t="s">
        <v>152</v>
      </c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7"/>
    </row>
    <row r="10" spans="1:29" x14ac:dyDescent="0.25">
      <c r="A10" s="97">
        <v>6</v>
      </c>
      <c r="B10" s="26" t="s">
        <v>138</v>
      </c>
      <c r="C10" s="26"/>
      <c r="E10" s="24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5"/>
      <c r="R10" s="24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5"/>
    </row>
    <row r="11" spans="1:29" ht="15.75" thickBot="1" x14ac:dyDescent="0.3">
      <c r="A11" s="97">
        <v>7</v>
      </c>
      <c r="B11" s="26" t="s">
        <v>88</v>
      </c>
      <c r="C11" s="26"/>
      <c r="E11" s="24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5"/>
      <c r="R11" s="24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5"/>
    </row>
    <row r="12" spans="1:29" ht="15.75" thickBot="1" x14ac:dyDescent="0.3">
      <c r="A12" s="98">
        <v>8</v>
      </c>
      <c r="B12" s="30" t="s">
        <v>134</v>
      </c>
      <c r="C12" s="26"/>
      <c r="D12" s="11">
        <v>3</v>
      </c>
      <c r="E12" s="125" t="s">
        <v>148</v>
      </c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7"/>
      <c r="R12" s="125" t="s">
        <v>121</v>
      </c>
      <c r="S12" s="126"/>
      <c r="T12" s="126"/>
      <c r="U12" s="127"/>
      <c r="V12" s="125" t="s">
        <v>146</v>
      </c>
      <c r="W12" s="126"/>
      <c r="X12" s="126"/>
      <c r="Y12" s="126"/>
      <c r="Z12" s="126"/>
      <c r="AA12" s="126"/>
      <c r="AB12" s="126"/>
      <c r="AC12" s="127"/>
    </row>
    <row r="13" spans="1:29" x14ac:dyDescent="0.25">
      <c r="A13" s="96">
        <v>9</v>
      </c>
      <c r="B13" s="29" t="s">
        <v>94</v>
      </c>
      <c r="C13" s="26"/>
      <c r="E13" s="24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5"/>
      <c r="R13" s="24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5"/>
    </row>
    <row r="14" spans="1:29" ht="15.75" thickBot="1" x14ac:dyDescent="0.3">
      <c r="A14" s="97">
        <v>10</v>
      </c>
      <c r="B14" s="26" t="s">
        <v>95</v>
      </c>
      <c r="C14" s="26"/>
      <c r="E14" s="24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5"/>
      <c r="R14" s="24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5"/>
    </row>
    <row r="15" spans="1:29" ht="15.75" thickBot="1" x14ac:dyDescent="0.3">
      <c r="A15" s="97">
        <v>11</v>
      </c>
      <c r="B15" s="26" t="s">
        <v>133</v>
      </c>
      <c r="C15" s="26"/>
      <c r="D15" s="11">
        <v>4</v>
      </c>
      <c r="E15" s="125" t="s">
        <v>151</v>
      </c>
      <c r="F15" s="126"/>
      <c r="G15" s="126"/>
      <c r="H15" s="127"/>
      <c r="I15" s="31"/>
      <c r="J15" s="31"/>
      <c r="K15" s="31"/>
      <c r="L15" s="31"/>
      <c r="M15" s="125" t="s">
        <v>149</v>
      </c>
      <c r="N15" s="126"/>
      <c r="O15" s="126"/>
      <c r="P15" s="127"/>
      <c r="R15" s="125" t="s">
        <v>122</v>
      </c>
      <c r="S15" s="126"/>
      <c r="T15" s="126"/>
      <c r="U15" s="127"/>
      <c r="V15" s="125" t="s">
        <v>147</v>
      </c>
      <c r="W15" s="126"/>
      <c r="X15" s="126"/>
      <c r="Y15" s="126"/>
      <c r="Z15" s="126"/>
      <c r="AA15" s="126"/>
      <c r="AB15" s="126"/>
      <c r="AC15" s="127"/>
    </row>
    <row r="16" spans="1:29" x14ac:dyDescent="0.25">
      <c r="A16" s="97">
        <v>12</v>
      </c>
      <c r="B16" s="26" t="s">
        <v>133</v>
      </c>
      <c r="C16" s="26"/>
      <c r="E16" s="24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5"/>
      <c r="R16" s="24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5"/>
    </row>
    <row r="17" spans="1:29" ht="15.75" thickBot="1" x14ac:dyDescent="0.3">
      <c r="A17" s="97">
        <v>13</v>
      </c>
      <c r="B17" s="26" t="s">
        <v>133</v>
      </c>
      <c r="C17" s="26"/>
      <c r="E17" s="24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5"/>
      <c r="R17" s="24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5"/>
    </row>
    <row r="18" spans="1:29" ht="15.75" thickBot="1" x14ac:dyDescent="0.3">
      <c r="A18" s="97">
        <v>14</v>
      </c>
      <c r="B18" s="26" t="s">
        <v>130</v>
      </c>
      <c r="C18" s="26"/>
      <c r="D18" s="11">
        <v>5</v>
      </c>
      <c r="E18" s="130" t="s">
        <v>15</v>
      </c>
      <c r="F18" s="131"/>
      <c r="G18" s="132"/>
      <c r="H18" s="31"/>
      <c r="I18" s="31"/>
      <c r="J18" s="31"/>
      <c r="K18" s="31"/>
      <c r="L18" s="31"/>
      <c r="M18" s="31"/>
      <c r="N18" s="31"/>
      <c r="O18" s="31"/>
      <c r="P18" s="28"/>
      <c r="R18" s="125" t="s">
        <v>108</v>
      </c>
      <c r="S18" s="127"/>
      <c r="T18" s="125" t="s">
        <v>109</v>
      </c>
      <c r="U18" s="127"/>
      <c r="V18" s="125" t="s">
        <v>110</v>
      </c>
      <c r="W18" s="127"/>
      <c r="X18" s="32"/>
      <c r="Y18" s="32"/>
      <c r="Z18" s="32"/>
      <c r="AA18" s="32"/>
      <c r="AB18" s="32"/>
      <c r="AC18" s="33"/>
    </row>
    <row r="19" spans="1:29" x14ac:dyDescent="0.25">
      <c r="A19" s="97">
        <v>15</v>
      </c>
      <c r="B19" s="26" t="s">
        <v>131</v>
      </c>
      <c r="C19" s="26"/>
      <c r="E19" s="24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5"/>
      <c r="R19" s="24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5"/>
    </row>
    <row r="20" spans="1:29" ht="15.75" thickBot="1" x14ac:dyDescent="0.3">
      <c r="A20" s="97">
        <v>16</v>
      </c>
      <c r="B20" s="26" t="s">
        <v>96</v>
      </c>
      <c r="C20" s="26"/>
      <c r="E20" s="24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5"/>
      <c r="R20" s="24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5"/>
    </row>
    <row r="21" spans="1:29" ht="15.75" thickBot="1" x14ac:dyDescent="0.3">
      <c r="D21" s="11">
        <v>6</v>
      </c>
      <c r="E21" s="133" t="s">
        <v>150</v>
      </c>
      <c r="F21" s="134"/>
      <c r="G21" s="125" t="s">
        <v>5</v>
      </c>
      <c r="H21" s="126"/>
      <c r="I21" s="126"/>
      <c r="J21" s="127"/>
      <c r="K21" s="27"/>
      <c r="L21" s="31"/>
      <c r="M21" s="31"/>
      <c r="N21" s="31"/>
      <c r="O21" s="125" t="s">
        <v>153</v>
      </c>
      <c r="P21" s="127"/>
      <c r="R21" s="34"/>
      <c r="S21" s="35"/>
      <c r="T21" s="35"/>
      <c r="U21" s="35"/>
      <c r="V21" s="35"/>
      <c r="W21" s="35"/>
      <c r="X21" s="31"/>
      <c r="Y21" s="31"/>
      <c r="Z21" s="31"/>
      <c r="AA21" s="31"/>
      <c r="AB21" s="31"/>
      <c r="AC21" s="28"/>
    </row>
    <row r="22" spans="1:29" x14ac:dyDescent="0.25">
      <c r="A22" t="s">
        <v>183</v>
      </c>
      <c r="B22" t="s">
        <v>114</v>
      </c>
      <c r="E22" s="24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5"/>
      <c r="R22" s="24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5"/>
    </row>
    <row r="23" spans="1:29" ht="15.75" thickBot="1" x14ac:dyDescent="0.3">
      <c r="A23" s="99">
        <v>1</v>
      </c>
      <c r="B23" t="s">
        <v>140</v>
      </c>
      <c r="E23" s="24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5"/>
      <c r="R23" s="24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5"/>
    </row>
    <row r="24" spans="1:29" ht="15.75" thickBot="1" x14ac:dyDescent="0.3">
      <c r="A24" s="99">
        <v>2</v>
      </c>
      <c r="B24" t="s">
        <v>141</v>
      </c>
      <c r="D24" s="11">
        <v>7</v>
      </c>
      <c r="E24" s="34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6"/>
      <c r="Q24" s="25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28"/>
    </row>
    <row r="25" spans="1:29" x14ac:dyDescent="0.25">
      <c r="E25" s="24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5"/>
      <c r="R25" s="24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5"/>
    </row>
    <row r="26" spans="1:29" ht="15.75" thickBot="1" x14ac:dyDescent="0.3">
      <c r="A26" t="s">
        <v>142</v>
      </c>
      <c r="B26" t="s">
        <v>143</v>
      </c>
      <c r="E26" s="14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15"/>
      <c r="R26" s="14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15"/>
    </row>
    <row r="27" spans="1:29" x14ac:dyDescent="0.25">
      <c r="A27" s="97">
        <v>17</v>
      </c>
      <c r="B27" t="s">
        <v>139</v>
      </c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</row>
    <row r="28" spans="1:29" x14ac:dyDescent="0.25">
      <c r="A28" s="97">
        <v>18</v>
      </c>
      <c r="B28" t="s">
        <v>184</v>
      </c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</row>
    <row r="29" spans="1:29" x14ac:dyDescent="0.25">
      <c r="A29" s="97">
        <v>19</v>
      </c>
      <c r="B29" t="s">
        <v>144</v>
      </c>
    </row>
    <row r="30" spans="1:29" ht="11.25" customHeight="1" thickBot="1" x14ac:dyDescent="0.3">
      <c r="A30" s="97"/>
    </row>
    <row r="31" spans="1:29" ht="15.75" thickBot="1" x14ac:dyDescent="0.3">
      <c r="A31" s="135" t="s">
        <v>157</v>
      </c>
      <c r="B31" s="136"/>
      <c r="C31" s="137"/>
      <c r="E31" s="12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13"/>
    </row>
    <row r="32" spans="1:29" ht="15.75" thickBot="1" x14ac:dyDescent="0.3">
      <c r="A32" s="27" t="s">
        <v>80</v>
      </c>
      <c r="B32" s="31" t="s">
        <v>126</v>
      </c>
      <c r="C32" s="28" t="s">
        <v>48</v>
      </c>
      <c r="E32" s="24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5"/>
    </row>
    <row r="33" spans="1:18" ht="15.75" thickBot="1" x14ac:dyDescent="0.3">
      <c r="A33" s="40" t="s">
        <v>121</v>
      </c>
      <c r="B33" s="109" t="s">
        <v>119</v>
      </c>
      <c r="C33" s="41">
        <v>4</v>
      </c>
      <c r="E33" s="27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28"/>
      <c r="Q33" s="11">
        <v>1</v>
      </c>
    </row>
    <row r="34" spans="1:18" x14ac:dyDescent="0.25">
      <c r="A34" s="40" t="s">
        <v>101</v>
      </c>
      <c r="B34" s="110" t="s">
        <v>119</v>
      </c>
      <c r="C34" s="41">
        <v>1</v>
      </c>
      <c r="E34" s="24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5"/>
      <c r="Q34" s="11"/>
    </row>
    <row r="35" spans="1:18" ht="15.75" thickBot="1" x14ac:dyDescent="0.3">
      <c r="A35" s="40" t="s">
        <v>101</v>
      </c>
      <c r="B35" s="110" t="s">
        <v>119</v>
      </c>
      <c r="C35" s="41">
        <v>1</v>
      </c>
      <c r="E35" s="24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5"/>
      <c r="Q35" s="11"/>
    </row>
    <row r="36" spans="1:18" ht="15.75" thickBot="1" x14ac:dyDescent="0.3">
      <c r="A36" s="42" t="s">
        <v>101</v>
      </c>
      <c r="B36" s="111" t="s">
        <v>119</v>
      </c>
      <c r="C36" s="41">
        <v>1</v>
      </c>
      <c r="E36" s="120" t="s">
        <v>121</v>
      </c>
      <c r="F36" s="121"/>
      <c r="G36" s="121"/>
      <c r="H36" s="121"/>
      <c r="I36" s="167" t="s">
        <v>101</v>
      </c>
      <c r="J36" s="168"/>
      <c r="K36" s="169"/>
      <c r="L36" s="120" t="s">
        <v>122</v>
      </c>
      <c r="M36" s="121"/>
      <c r="N36" s="51" t="s">
        <v>102</v>
      </c>
      <c r="O36" s="31"/>
      <c r="P36" s="28"/>
      <c r="Q36" s="11">
        <v>2</v>
      </c>
    </row>
    <row r="37" spans="1:18" x14ac:dyDescent="0.25">
      <c r="A37" s="38" t="s">
        <v>122</v>
      </c>
      <c r="B37" s="109" t="s">
        <v>118</v>
      </c>
      <c r="C37" s="39">
        <v>2</v>
      </c>
      <c r="E37" s="24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5"/>
      <c r="Q37" s="11"/>
    </row>
    <row r="38" spans="1:18" ht="15.75" thickBot="1" x14ac:dyDescent="0.3">
      <c r="A38" s="42" t="s">
        <v>102</v>
      </c>
      <c r="B38" s="111" t="s">
        <v>118</v>
      </c>
      <c r="C38" s="43">
        <v>1</v>
      </c>
      <c r="E38" s="24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5"/>
      <c r="Q38" s="11"/>
    </row>
    <row r="39" spans="1:18" ht="15.75" thickBot="1" x14ac:dyDescent="0.3">
      <c r="A39" s="44" t="s">
        <v>160</v>
      </c>
      <c r="B39" s="112" t="s">
        <v>161</v>
      </c>
      <c r="C39" s="46">
        <v>4</v>
      </c>
      <c r="E39" s="120" t="s">
        <v>160</v>
      </c>
      <c r="F39" s="121"/>
      <c r="G39" s="121"/>
      <c r="H39" s="121"/>
      <c r="I39" s="167" t="s">
        <v>164</v>
      </c>
      <c r="J39" s="168"/>
      <c r="K39" s="168"/>
      <c r="L39" s="168"/>
      <c r="M39" s="169"/>
      <c r="N39" s="123" t="s">
        <v>163</v>
      </c>
      <c r="O39" s="124"/>
      <c r="P39" s="36"/>
      <c r="Q39" s="11">
        <v>3</v>
      </c>
    </row>
    <row r="40" spans="1:18" x14ac:dyDescent="0.25">
      <c r="A40" s="45" t="s">
        <v>103</v>
      </c>
      <c r="B40" s="113" t="s">
        <v>123</v>
      </c>
      <c r="C40" s="46">
        <v>1</v>
      </c>
      <c r="E40" s="52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/>
      <c r="Q40" s="11"/>
    </row>
    <row r="41" spans="1:18" ht="15.75" thickBot="1" x14ac:dyDescent="0.3">
      <c r="A41" s="45" t="s">
        <v>104</v>
      </c>
      <c r="B41" s="113" t="s">
        <v>123</v>
      </c>
      <c r="C41" s="46">
        <v>1</v>
      </c>
      <c r="E41" s="52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4"/>
      <c r="Q41" s="11"/>
    </row>
    <row r="42" spans="1:18" ht="15.75" thickBot="1" x14ac:dyDescent="0.3">
      <c r="A42" s="45" t="s">
        <v>105</v>
      </c>
      <c r="B42" s="113" t="s">
        <v>123</v>
      </c>
      <c r="C42" s="46">
        <v>1</v>
      </c>
      <c r="E42" s="120" t="s">
        <v>190</v>
      </c>
      <c r="F42" s="121"/>
      <c r="G42" s="120" t="s">
        <v>165</v>
      </c>
      <c r="H42" s="121"/>
      <c r="I42" s="122"/>
      <c r="J42" s="31"/>
      <c r="K42" s="31"/>
      <c r="L42" s="31"/>
      <c r="M42" s="31"/>
      <c r="N42" s="31"/>
      <c r="O42" s="31"/>
      <c r="P42" s="28"/>
      <c r="Q42" s="11">
        <v>4</v>
      </c>
    </row>
    <row r="43" spans="1:18" x14ac:dyDescent="0.25">
      <c r="A43" s="45" t="s">
        <v>106</v>
      </c>
      <c r="B43" s="113" t="s">
        <v>158</v>
      </c>
      <c r="C43" s="46">
        <v>1</v>
      </c>
      <c r="E43" s="24"/>
      <c r="F43" s="26"/>
      <c r="L43" s="26"/>
      <c r="M43" s="26"/>
      <c r="N43" s="26"/>
      <c r="O43" s="26"/>
      <c r="P43" s="25"/>
      <c r="Q43" s="11"/>
    </row>
    <row r="44" spans="1:18" ht="15.75" thickBot="1" x14ac:dyDescent="0.3">
      <c r="A44" s="47" t="s">
        <v>107</v>
      </c>
      <c r="B44" s="114" t="s">
        <v>159</v>
      </c>
      <c r="C44" s="46">
        <v>1</v>
      </c>
      <c r="E44" s="24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5"/>
      <c r="Q44" s="11"/>
    </row>
    <row r="45" spans="1:18" ht="15.75" thickBot="1" x14ac:dyDescent="0.3">
      <c r="A45" s="38" t="s">
        <v>190</v>
      </c>
      <c r="B45" s="109" t="s">
        <v>162</v>
      </c>
      <c r="C45" s="39">
        <v>2</v>
      </c>
      <c r="E45" s="27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28"/>
      <c r="Q45" s="11">
        <v>5</v>
      </c>
    </row>
    <row r="46" spans="1:18" x14ac:dyDescent="0.25">
      <c r="A46" s="40" t="s">
        <v>127</v>
      </c>
      <c r="B46" s="110" t="s">
        <v>115</v>
      </c>
      <c r="C46" s="41">
        <v>1</v>
      </c>
      <c r="E46" s="12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13"/>
      <c r="Q46" s="11"/>
    </row>
    <row r="47" spans="1:18" ht="15.75" thickBot="1" x14ac:dyDescent="0.3">
      <c r="A47" s="45" t="s">
        <v>128</v>
      </c>
      <c r="B47" s="113" t="s">
        <v>120</v>
      </c>
      <c r="C47" s="46">
        <v>1</v>
      </c>
      <c r="E47" s="14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15"/>
      <c r="Q47" s="108"/>
      <c r="R47" s="26"/>
    </row>
    <row r="48" spans="1:18" ht="15.75" thickBot="1" x14ac:dyDescent="0.3">
      <c r="A48" s="47" t="s">
        <v>129</v>
      </c>
      <c r="B48" s="114" t="s">
        <v>117</v>
      </c>
      <c r="C48" s="48">
        <v>1</v>
      </c>
      <c r="D48" s="108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</row>
    <row r="49" spans="1:18" ht="15.75" thickBot="1" x14ac:dyDescent="0.3">
      <c r="A49" s="49" t="s">
        <v>163</v>
      </c>
      <c r="B49" s="115" t="s">
        <v>116</v>
      </c>
      <c r="C49" s="48">
        <v>2</v>
      </c>
      <c r="D49" s="108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</row>
    <row r="50" spans="1:18" x14ac:dyDescent="0.25">
      <c r="A50" t="s">
        <v>166</v>
      </c>
      <c r="C50" s="50">
        <f>SUBTOTAL(109,Tabelle8[TE])</f>
        <v>26</v>
      </c>
      <c r="D50" s="108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</row>
    <row r="51" spans="1:18" x14ac:dyDescent="0.25">
      <c r="D51" s="108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</row>
  </sheetData>
  <mergeCells count="36">
    <mergeCell ref="A31:C31"/>
    <mergeCell ref="P2:P3"/>
    <mergeCell ref="O21:P21"/>
    <mergeCell ref="E12:P12"/>
    <mergeCell ref="M15:P15"/>
    <mergeCell ref="E15:H15"/>
    <mergeCell ref="E6:P6"/>
    <mergeCell ref="E9:P9"/>
    <mergeCell ref="A3:B3"/>
    <mergeCell ref="E2:E3"/>
    <mergeCell ref="J2:J3"/>
    <mergeCell ref="E18:G18"/>
    <mergeCell ref="G21:J21"/>
    <mergeCell ref="E21:F21"/>
    <mergeCell ref="R12:U12"/>
    <mergeCell ref="V12:AC12"/>
    <mergeCell ref="R9:AC9"/>
    <mergeCell ref="R2:R3"/>
    <mergeCell ref="X2:X3"/>
    <mergeCell ref="AC2:AC3"/>
    <mergeCell ref="A1:AC1"/>
    <mergeCell ref="G42:I42"/>
    <mergeCell ref="L36:M36"/>
    <mergeCell ref="N39:O39"/>
    <mergeCell ref="E36:H36"/>
    <mergeCell ref="I36:K36"/>
    <mergeCell ref="E39:H39"/>
    <mergeCell ref="I39:M39"/>
    <mergeCell ref="E42:F42"/>
    <mergeCell ref="V15:AC15"/>
    <mergeCell ref="R15:U15"/>
    <mergeCell ref="X6:AC6"/>
    <mergeCell ref="R6:W6"/>
    <mergeCell ref="R18:S18"/>
    <mergeCell ref="T18:U18"/>
    <mergeCell ref="V18:W18"/>
  </mergeCells>
  <phoneticPr fontId="3" type="noConversion"/>
  <pageMargins left="0.34" right="0.2" top="0.57999999999999996" bottom="0.53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6C7B-2708-494E-AAF9-C3B0CDC518F4}">
  <sheetPr codeName="Tabelle5"/>
  <dimension ref="A1:H40"/>
  <sheetViews>
    <sheetView topLeftCell="A13" workbookViewId="0">
      <selection activeCell="I21" sqref="I21"/>
    </sheetView>
  </sheetViews>
  <sheetFormatPr baseColWidth="10" defaultRowHeight="15" x14ac:dyDescent="0.25"/>
  <cols>
    <col min="1" max="1" width="13" bestFit="1" customWidth="1"/>
    <col min="2" max="2" width="3.42578125" style="11" customWidth="1"/>
    <col min="3" max="3" width="23.28515625" bestFit="1" customWidth="1"/>
    <col min="4" max="4" width="11.5703125" style="84"/>
    <col min="5" max="5" width="11.5703125" style="101"/>
  </cols>
  <sheetData>
    <row r="1" spans="1:8" ht="15.75" thickBot="1" x14ac:dyDescent="0.3">
      <c r="A1" t="s">
        <v>75</v>
      </c>
      <c r="C1" t="s">
        <v>76</v>
      </c>
      <c r="D1" s="84" t="s">
        <v>170</v>
      </c>
      <c r="E1" s="101" t="s">
        <v>80</v>
      </c>
    </row>
    <row r="2" spans="1:8" ht="15.75" thickBot="1" x14ac:dyDescent="0.3">
      <c r="A2" s="144" t="s">
        <v>89</v>
      </c>
      <c r="B2" s="66">
        <v>1</v>
      </c>
      <c r="C2" s="106" t="s">
        <v>77</v>
      </c>
      <c r="D2" s="88" t="s">
        <v>172</v>
      </c>
      <c r="E2" s="83">
        <v>14</v>
      </c>
    </row>
    <row r="3" spans="1:8" ht="15.75" thickBot="1" x14ac:dyDescent="0.3">
      <c r="A3" s="145"/>
      <c r="B3" s="107">
        <v>2</v>
      </c>
      <c r="C3" s="106" t="s">
        <v>78</v>
      </c>
      <c r="D3" s="88" t="s">
        <v>173</v>
      </c>
      <c r="E3" s="105">
        <v>14</v>
      </c>
    </row>
    <row r="4" spans="1:8" x14ac:dyDescent="0.25">
      <c r="A4" s="146"/>
      <c r="B4" s="154">
        <v>3</v>
      </c>
      <c r="C4" s="71" t="s">
        <v>175</v>
      </c>
      <c r="D4" s="150" t="s">
        <v>174</v>
      </c>
      <c r="E4" s="138">
        <v>1</v>
      </c>
    </row>
    <row r="5" spans="1:8" ht="15.75" thickBot="1" x14ac:dyDescent="0.3">
      <c r="A5" s="146"/>
      <c r="B5" s="154"/>
      <c r="C5" s="72" t="s">
        <v>176</v>
      </c>
      <c r="D5" s="163"/>
      <c r="E5" s="139"/>
    </row>
    <row r="6" spans="1:8" x14ac:dyDescent="0.25">
      <c r="A6" s="146"/>
      <c r="B6" s="155">
        <v>4</v>
      </c>
      <c r="C6" s="71" t="s">
        <v>177</v>
      </c>
      <c r="D6" s="150" t="s">
        <v>174</v>
      </c>
      <c r="E6" s="140">
        <v>1</v>
      </c>
    </row>
    <row r="7" spans="1:8" ht="15.75" thickBot="1" x14ac:dyDescent="0.3">
      <c r="A7" s="146"/>
      <c r="B7" s="156"/>
      <c r="C7" s="73" t="s">
        <v>171</v>
      </c>
      <c r="D7" s="163"/>
      <c r="E7" s="139"/>
    </row>
    <row r="8" spans="1:8" ht="15.75" thickBot="1" x14ac:dyDescent="0.3">
      <c r="A8" s="146"/>
      <c r="B8" s="74">
        <v>5</v>
      </c>
      <c r="C8" s="75" t="s">
        <v>96</v>
      </c>
      <c r="D8" s="86" t="s">
        <v>174</v>
      </c>
      <c r="E8" s="76">
        <v>16</v>
      </c>
    </row>
    <row r="9" spans="1:8" x14ac:dyDescent="0.25">
      <c r="A9" s="147" t="s">
        <v>25</v>
      </c>
      <c r="B9" s="157">
        <v>6</v>
      </c>
      <c r="C9" s="29" t="s">
        <v>81</v>
      </c>
      <c r="D9" s="152" t="s">
        <v>174</v>
      </c>
      <c r="E9" s="141">
        <v>15</v>
      </c>
      <c r="G9" t="s">
        <v>187</v>
      </c>
      <c r="H9">
        <f>COUNTIF($D$2:$D$40,"3x1,5")</f>
        <v>12</v>
      </c>
    </row>
    <row r="10" spans="1:8" ht="15.75" thickBot="1" x14ac:dyDescent="0.3">
      <c r="A10" s="148"/>
      <c r="B10" s="158"/>
      <c r="C10" s="26" t="s">
        <v>82</v>
      </c>
      <c r="D10" s="153"/>
      <c r="E10" s="142"/>
      <c r="F10" s="26"/>
      <c r="G10" t="s">
        <v>186</v>
      </c>
      <c r="H10">
        <f>COUNTIF($D$2:$D$40,"5x1,5")</f>
        <v>13</v>
      </c>
    </row>
    <row r="11" spans="1:8" x14ac:dyDescent="0.25">
      <c r="A11" s="148"/>
      <c r="B11" s="157">
        <v>7</v>
      </c>
      <c r="C11" s="29" t="s">
        <v>83</v>
      </c>
      <c r="D11" s="160" t="s">
        <v>174</v>
      </c>
      <c r="E11" s="141">
        <v>2</v>
      </c>
      <c r="F11" s="26"/>
      <c r="G11" t="s">
        <v>189</v>
      </c>
      <c r="H11">
        <f>COUNTIF($D$2:$D$40,"5x2,5")</f>
        <v>1</v>
      </c>
    </row>
    <row r="12" spans="1:8" ht="15.75" thickBot="1" x14ac:dyDescent="0.3">
      <c r="A12" s="148"/>
      <c r="B12" s="158"/>
      <c r="C12" s="61" t="s">
        <v>178</v>
      </c>
      <c r="D12" s="160"/>
      <c r="E12" s="142"/>
      <c r="F12" s="37"/>
      <c r="G12" t="s">
        <v>188</v>
      </c>
      <c r="H12">
        <f>COUNTIF($D$2:$D$40,"7x1,5")</f>
        <v>1</v>
      </c>
    </row>
    <row r="13" spans="1:8" x14ac:dyDescent="0.25">
      <c r="A13" s="148"/>
      <c r="B13" s="157">
        <v>8</v>
      </c>
      <c r="C13" s="13" t="s">
        <v>84</v>
      </c>
      <c r="D13" s="159" t="s">
        <v>174</v>
      </c>
      <c r="E13" s="141">
        <v>2</v>
      </c>
      <c r="F13" s="37"/>
    </row>
    <row r="14" spans="1:8" x14ac:dyDescent="0.25">
      <c r="A14" s="148"/>
      <c r="B14" s="158"/>
      <c r="C14" s="25" t="s">
        <v>179</v>
      </c>
      <c r="D14" s="160"/>
      <c r="E14" s="143"/>
      <c r="F14" s="37"/>
    </row>
    <row r="15" spans="1:8" ht="15.75" thickBot="1" x14ac:dyDescent="0.3">
      <c r="A15" s="148"/>
      <c r="B15" s="162"/>
      <c r="C15" s="15" t="s">
        <v>180</v>
      </c>
      <c r="D15" s="161"/>
      <c r="E15" s="142"/>
      <c r="F15" s="37"/>
    </row>
    <row r="16" spans="1:8" ht="15.75" thickBot="1" x14ac:dyDescent="0.3">
      <c r="A16" s="148"/>
      <c r="B16" s="65">
        <v>9</v>
      </c>
      <c r="C16" s="63" t="s">
        <v>97</v>
      </c>
      <c r="D16" s="32" t="s">
        <v>174</v>
      </c>
      <c r="E16" s="69">
        <v>16</v>
      </c>
      <c r="F16" s="37"/>
    </row>
    <row r="17" spans="1:7" ht="15.75" thickBot="1" x14ac:dyDescent="0.3">
      <c r="A17" s="148"/>
      <c r="B17" s="65">
        <v>10</v>
      </c>
      <c r="C17" s="58" t="s">
        <v>98</v>
      </c>
      <c r="D17" s="87" t="s">
        <v>174</v>
      </c>
      <c r="E17" s="69">
        <v>16</v>
      </c>
      <c r="F17" s="26"/>
      <c r="G17" s="68"/>
    </row>
    <row r="18" spans="1:7" ht="15.75" thickBot="1" x14ac:dyDescent="0.3">
      <c r="A18" s="149" t="s">
        <v>24</v>
      </c>
      <c r="B18" s="56">
        <v>11</v>
      </c>
      <c r="C18" s="67" t="s">
        <v>86</v>
      </c>
      <c r="D18" s="88" t="s">
        <v>172</v>
      </c>
      <c r="E18" s="76">
        <v>19</v>
      </c>
      <c r="F18" s="26"/>
    </row>
    <row r="19" spans="1:7" ht="15.75" thickBot="1" x14ac:dyDescent="0.3">
      <c r="A19" s="146"/>
      <c r="B19" s="55">
        <v>12</v>
      </c>
      <c r="C19" s="75" t="s">
        <v>87</v>
      </c>
      <c r="D19" s="88" t="s">
        <v>172</v>
      </c>
      <c r="E19" s="76">
        <v>8</v>
      </c>
    </row>
    <row r="20" spans="1:7" ht="15.75" thickBot="1" x14ac:dyDescent="0.3">
      <c r="A20" s="146"/>
      <c r="B20" s="55">
        <v>13</v>
      </c>
      <c r="C20" s="75" t="s">
        <v>88</v>
      </c>
      <c r="D20" s="88" t="s">
        <v>172</v>
      </c>
      <c r="E20" s="76">
        <v>7</v>
      </c>
    </row>
    <row r="21" spans="1:7" ht="15.75" thickBot="1" x14ac:dyDescent="0.3">
      <c r="A21" s="146"/>
      <c r="B21" s="56">
        <v>14</v>
      </c>
      <c r="C21" s="75" t="s">
        <v>96</v>
      </c>
      <c r="D21" s="88" t="s">
        <v>174</v>
      </c>
      <c r="E21" s="76">
        <v>16</v>
      </c>
    </row>
    <row r="22" spans="1:7" ht="15.75" thickBot="1" x14ac:dyDescent="0.3">
      <c r="A22" s="146"/>
      <c r="B22" s="77">
        <v>15</v>
      </c>
      <c r="C22" s="75" t="s">
        <v>90</v>
      </c>
      <c r="D22" s="85" t="s">
        <v>182</v>
      </c>
      <c r="E22" s="76">
        <v>11</v>
      </c>
    </row>
    <row r="23" spans="1:7" x14ac:dyDescent="0.25">
      <c r="A23" s="146"/>
      <c r="B23" s="155">
        <v>16</v>
      </c>
      <c r="C23" s="71" t="s">
        <v>85</v>
      </c>
      <c r="D23" s="150" t="s">
        <v>174</v>
      </c>
      <c r="E23" s="140">
        <v>15</v>
      </c>
    </row>
    <row r="24" spans="1:7" ht="15.75" thickBot="1" x14ac:dyDescent="0.3">
      <c r="A24" s="146"/>
      <c r="B24" s="156"/>
      <c r="C24" s="72" t="s">
        <v>82</v>
      </c>
      <c r="D24" s="151"/>
      <c r="E24" s="138"/>
    </row>
    <row r="25" spans="1:7" ht="15.75" thickBot="1" x14ac:dyDescent="0.3">
      <c r="A25" s="146"/>
      <c r="B25" s="74">
        <v>17</v>
      </c>
      <c r="C25" s="75" t="s">
        <v>181</v>
      </c>
      <c r="D25" s="85" t="s">
        <v>172</v>
      </c>
      <c r="E25" s="76">
        <v>3</v>
      </c>
    </row>
    <row r="26" spans="1:7" x14ac:dyDescent="0.25">
      <c r="A26" s="147" t="s">
        <v>27</v>
      </c>
      <c r="B26" s="157">
        <v>18</v>
      </c>
      <c r="C26" s="29" t="s">
        <v>91</v>
      </c>
      <c r="D26" s="159" t="s">
        <v>174</v>
      </c>
      <c r="E26" s="141">
        <v>3</v>
      </c>
    </row>
    <row r="27" spans="1:7" ht="15.75" thickBot="1" x14ac:dyDescent="0.3">
      <c r="A27" s="148"/>
      <c r="B27" s="162"/>
      <c r="C27" s="30" t="s">
        <v>16</v>
      </c>
      <c r="D27" s="161"/>
      <c r="E27" s="142"/>
    </row>
    <row r="28" spans="1:7" ht="15.75" thickBot="1" x14ac:dyDescent="0.3">
      <c r="A28" s="148"/>
      <c r="B28" s="64">
        <v>19</v>
      </c>
      <c r="C28" s="57" t="s">
        <v>92</v>
      </c>
      <c r="D28" s="89" t="s">
        <v>174</v>
      </c>
      <c r="E28" s="82">
        <v>19</v>
      </c>
    </row>
    <row r="29" spans="1:7" x14ac:dyDescent="0.25">
      <c r="A29" s="144" t="s">
        <v>28</v>
      </c>
      <c r="B29" s="165">
        <v>20</v>
      </c>
      <c r="C29" s="71" t="s">
        <v>82</v>
      </c>
      <c r="D29" s="150" t="s">
        <v>174</v>
      </c>
      <c r="E29" s="140">
        <v>15</v>
      </c>
    </row>
    <row r="30" spans="1:7" ht="15.75" thickBot="1" x14ac:dyDescent="0.3">
      <c r="A30" s="145"/>
      <c r="B30" s="166"/>
      <c r="C30" s="73" t="s">
        <v>93</v>
      </c>
      <c r="D30" s="151"/>
      <c r="E30" s="138"/>
    </row>
    <row r="31" spans="1:7" ht="15.75" thickBot="1" x14ac:dyDescent="0.3">
      <c r="A31" s="146"/>
      <c r="B31" s="79">
        <v>21</v>
      </c>
      <c r="C31" s="78" t="s">
        <v>94</v>
      </c>
      <c r="D31" s="60" t="s">
        <v>172</v>
      </c>
      <c r="E31" s="76">
        <v>9</v>
      </c>
    </row>
    <row r="32" spans="1:7" ht="15.75" thickBot="1" x14ac:dyDescent="0.3">
      <c r="A32" s="146"/>
      <c r="B32" s="55">
        <v>22</v>
      </c>
      <c r="C32" s="78" t="s">
        <v>95</v>
      </c>
      <c r="D32" s="90" t="s">
        <v>172</v>
      </c>
      <c r="E32" s="76">
        <v>10</v>
      </c>
    </row>
    <row r="33" spans="1:5" ht="15.75" thickBot="1" x14ac:dyDescent="0.3">
      <c r="A33" s="164"/>
      <c r="B33" s="79">
        <v>23</v>
      </c>
      <c r="C33" s="72" t="s">
        <v>79</v>
      </c>
      <c r="D33" s="60" t="s">
        <v>172</v>
      </c>
      <c r="E33" s="83">
        <v>4</v>
      </c>
    </row>
    <row r="34" spans="1:5" x14ac:dyDescent="0.25">
      <c r="A34" s="24" t="s">
        <v>26</v>
      </c>
      <c r="B34" s="70"/>
      <c r="C34" s="26" t="s">
        <v>99</v>
      </c>
      <c r="D34" s="91"/>
      <c r="E34" s="102"/>
    </row>
    <row r="35" spans="1:5" x14ac:dyDescent="0.25">
      <c r="A35" s="24"/>
      <c r="B35" s="70"/>
      <c r="C35" s="26"/>
      <c r="D35" s="91"/>
      <c r="E35" s="102"/>
    </row>
    <row r="36" spans="1:5" ht="15.75" thickBot="1" x14ac:dyDescent="0.3">
      <c r="A36" s="24"/>
      <c r="B36" s="70"/>
      <c r="C36" s="26"/>
      <c r="D36" s="91"/>
      <c r="E36" s="102"/>
    </row>
    <row r="37" spans="1:5" ht="15.75" thickBot="1" x14ac:dyDescent="0.3">
      <c r="A37" s="93" t="s">
        <v>29</v>
      </c>
      <c r="B37" s="100"/>
      <c r="C37" s="78" t="s">
        <v>82</v>
      </c>
      <c r="D37" s="67" t="s">
        <v>172</v>
      </c>
      <c r="E37" s="103">
        <v>14</v>
      </c>
    </row>
    <row r="38" spans="1:5" ht="15.75" thickBot="1" x14ac:dyDescent="0.3">
      <c r="A38" s="94"/>
      <c r="B38" s="80"/>
      <c r="C38" s="73" t="s">
        <v>79</v>
      </c>
      <c r="D38" s="59" t="s">
        <v>172</v>
      </c>
      <c r="E38" s="81">
        <v>5</v>
      </c>
    </row>
    <row r="39" spans="1:5" ht="15.75" thickBot="1" x14ac:dyDescent="0.3">
      <c r="A39" s="95"/>
      <c r="B39" s="100"/>
      <c r="C39" s="78" t="s">
        <v>111</v>
      </c>
      <c r="D39" s="67" t="s">
        <v>172</v>
      </c>
      <c r="E39" s="103">
        <v>17</v>
      </c>
    </row>
    <row r="40" spans="1:5" ht="15.75" thickBot="1" x14ac:dyDescent="0.3">
      <c r="A40" s="14" t="s">
        <v>31</v>
      </c>
      <c r="B40" s="62"/>
      <c r="C40" s="30" t="s">
        <v>100</v>
      </c>
      <c r="D40" s="92" t="s">
        <v>172</v>
      </c>
      <c r="E40" s="104">
        <v>5</v>
      </c>
    </row>
  </sheetData>
  <mergeCells count="29">
    <mergeCell ref="A29:A33"/>
    <mergeCell ref="B29:B30"/>
    <mergeCell ref="D29:D30"/>
    <mergeCell ref="E29:E30"/>
    <mergeCell ref="B23:B24"/>
    <mergeCell ref="D26:D27"/>
    <mergeCell ref="E26:E27"/>
    <mergeCell ref="B26:B27"/>
    <mergeCell ref="E23:E24"/>
    <mergeCell ref="A2:A8"/>
    <mergeCell ref="A9:A17"/>
    <mergeCell ref="A18:A25"/>
    <mergeCell ref="A26:A28"/>
    <mergeCell ref="D23:D24"/>
    <mergeCell ref="D9:D10"/>
    <mergeCell ref="B4:B5"/>
    <mergeCell ref="B6:B7"/>
    <mergeCell ref="B9:B10"/>
    <mergeCell ref="B11:B12"/>
    <mergeCell ref="D13:D15"/>
    <mergeCell ref="B13:B15"/>
    <mergeCell ref="D4:D5"/>
    <mergeCell ref="D6:D7"/>
    <mergeCell ref="D11:D12"/>
    <mergeCell ref="E4:E5"/>
    <mergeCell ref="E6:E7"/>
    <mergeCell ref="E9:E10"/>
    <mergeCell ref="E11:E12"/>
    <mergeCell ref="E13:E15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Schaltstellen</vt:lpstr>
      <vt:lpstr>Kosten</vt:lpstr>
      <vt:lpstr>Sicherungskasten</vt:lpstr>
      <vt:lpstr>Kabelstränge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Brandl</dc:creator>
  <cp:lastModifiedBy>Thomas Brandl</cp:lastModifiedBy>
  <cp:lastPrinted>2020-12-21T14:41:13Z</cp:lastPrinted>
  <dcterms:created xsi:type="dcterms:W3CDTF">2020-11-22T19:29:23Z</dcterms:created>
  <dcterms:modified xsi:type="dcterms:W3CDTF">2020-12-22T07:26:19Z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c202a995-494c-467b-8699-1afa49b32cc0</vt:lpwstr>
  </property>
</Properties>
</file>