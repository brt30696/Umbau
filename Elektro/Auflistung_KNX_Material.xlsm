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okumente_Thomas_Brandl\GIT_Repository\Umbau\Elektro\"/>
    </mc:Choice>
  </mc:AlternateContent>
  <xr:revisionPtr revIDLastSave="0" documentId="13_ncr:1_{1182ACEA-5E71-43A1-9D7B-0E8509DFCEE8}" xr6:coauthVersionLast="45" xr6:coauthVersionMax="45" xr10:uidLastSave="{00000000-0000-0000-0000-000000000000}"/>
  <bookViews>
    <workbookView xWindow="28680" yWindow="-120" windowWidth="29040" windowHeight="15840" activeTab="3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3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<sst xmlns="http://schemas.openxmlformats.org/spreadsheetml/2006/main" count="263" uniqueCount="188">
  <si>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</si>
  <si>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</si>
  <si>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</si>
  <si>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</si>
  <si>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</si>
  <si>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</si>
  <si>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</si>
  <si>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</si>
  <si>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</si>
  <si>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</si>
  <si>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</si>
  <si>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</si>
  <si>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</si>
  <si>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</si>
  <si>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</si>
  <si>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</si>
  <si>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</si>
  <si>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</si>
  <si>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</si>
  <si>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</si>
  <si>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</si>
  <si>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</si>
  <si>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</si>
  <si>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</si>
  <si>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</si>
  <si>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</si>
  <si>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</si>
  <si>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</si>
  <si>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</si>
  <si>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</si>
  <si>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</si>
  <si>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</si>
  <si>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</si>
  <si>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</si>
  <si>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</si>
  <si>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</si>
  <si>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</si>
  <si>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</si>
  <si>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</si>
  <si>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</si>
  <si>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</si>
  <si>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</si>
  <si>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</si>
  <si>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</si>
  <si>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</si>
  <si>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</si>
  <si>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</si>
  <si>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</si>
  <si>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</si>
  <si>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</si>
  <si>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</si>
  <si>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</si>
  <si>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</si>
  <si>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</si>
  <si>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</si>
  <si>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</si>
  <si>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</si>
  <si>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</si>
  <si>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</si>
  <si>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</si>
  <si>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</si>
  <si>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</si>
  <si>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</si>
  <si>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</si>
  <si>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</si>
  <si>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</si>
  <si>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</si>
  <si>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</si>
  <si>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</si>
  <si>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</si>
  <si>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</si>
  <si>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</si>
  <si>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</si>
  <si>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</si>
  <si>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</si>
  <si>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</si>
  <si>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</si>
  <si>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</si>
  <si>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</si>
  <si>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</si>
  <si>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</si>
  <si>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</si>
  <si>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</si>
  <si>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</si>
  <si>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</si>
  <si>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</si>
  <si>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</si>
  <si>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</si>
  <si>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</si>
  <si>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</si>
  <si>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</si>
  <si>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</si>
  <si>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</si>
  <si>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</si>
  <si>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</si>
  <si>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</si>
  <si>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</si>
  <si>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</si>
  <si>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</si>
  <si>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</si>
  <si>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</si>
  <si>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</si>
  <si>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</si>
  <si>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</si>
  <si>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</si>
  <si>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</si>
  <si>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</si>
  <si>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</si>
  <si>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</si>
  <si>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</si>
  <si>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</si>
  <si>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</si>
  <si>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</si>
  <si>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</si>
  <si>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</si>
  <si>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</si>
  <si>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</si>
  <si>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</si>
  <si>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</si>
  <si>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</si>
  <si>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</si>
  <si>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</si>
  <si>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</si>
  <si>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</si>
  <si>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</si>
  <si>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</si>
  <si>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</si>
  <si>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</si>
  <si>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</si>
  <si>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Herd</t>
  </si>
  <si>
    <t>Ofen</t>
  </si>
  <si>
    <t>Steckdose Haustür</t>
  </si>
  <si>
    <t>F1-F8</t>
  </si>
  <si>
    <t>F9-F16</t>
  </si>
  <si>
    <t>FI-LS-Kombi</t>
  </si>
  <si>
    <t>Funktion</t>
  </si>
  <si>
    <t>Kühl- und Gefrierschrank</t>
  </si>
  <si>
    <t>F1-8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</si>
  <si>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</si>
  <si>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</si>
  <si>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</si>
  <si>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</si>
  <si>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</si>
  <si>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</si>
  <si>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</si>
  <si>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</si>
  <si>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</si>
  <si>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</si>
  <si>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</si>
  <si>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</si>
  <si>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</si>
  <si>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</si>
  <si>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</si>
  <si>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</si>
  <si>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</si>
  <si>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</si>
  <si>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Fega</t>
  </si>
  <si>
    <t xml:space="preserve">elektro </t>
  </si>
  <si>
    <t>Verteilerkasten Keller</t>
  </si>
  <si>
    <t>Zuleitung</t>
  </si>
  <si>
    <t>Steckdose Schrank</t>
  </si>
  <si>
    <t>Steckdosen hinter Tür</t>
  </si>
  <si>
    <t>Steckdosen Küche</t>
  </si>
  <si>
    <t>FI-Schalter</t>
  </si>
  <si>
    <t>Sicherungskasten Bestückung</t>
  </si>
  <si>
    <t>FI4</t>
  </si>
  <si>
    <t>Summe:</t>
  </si>
  <si>
    <t>Steckdose Licht Herdplatte</t>
  </si>
  <si>
    <t>Klemmblock</t>
  </si>
  <si>
    <t>Heizkörper</t>
  </si>
  <si>
    <t>Schlafen</t>
  </si>
  <si>
    <t>Essen</t>
  </si>
  <si>
    <t>Küche/Speis</t>
  </si>
  <si>
    <t>Gang/Klo</t>
  </si>
  <si>
    <t>Wohnen</t>
  </si>
  <si>
    <t>KNX-Netzteil</t>
  </si>
  <si>
    <t>Steckdose Bett links</t>
  </si>
  <si>
    <t>Steckdose Bett rechts</t>
  </si>
  <si>
    <t>Steckdose ungeschaltet</t>
  </si>
  <si>
    <t>Steckdose Südwest</t>
  </si>
  <si>
    <t>Steckdose Nord</t>
  </si>
  <si>
    <t>Lampenschirm Esstisch</t>
  </si>
  <si>
    <t>ebay-kleinanzeigen</t>
  </si>
  <si>
    <t>Netzwerkschrank</t>
  </si>
  <si>
    <t>ohne</t>
  </si>
  <si>
    <t>NYM, Kabelkanäle Keller</t>
  </si>
  <si>
    <t>Leerrohre und Elektronikdosen</t>
  </si>
  <si>
    <t>F9-15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</si>
</sst>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0" borderId="14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12" xfId="0" applyFill="1" applyBorder="1"/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3" borderId="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center"/>
    </xf>
    <xf numFmtId="49" fontId="0" fillId="0" borderId="17" xfId="0" applyNumberFormat="1" applyFont="1" applyBorder="1"/>
    <xf numFmtId="0" fontId="0" fillId="3" borderId="16" xfId="0" applyFill="1" applyBorder="1" applyAlignment="1">
      <alignment horizontal="center" vertical="top"/>
    </xf>
    <xf numFmtId="0" fontId="0" fillId="5" borderId="6" xfId="0" applyFill="1" applyBorder="1"/>
    <xf numFmtId="0" fontId="0" fillId="5" borderId="10" xfId="0" applyFill="1" applyBorder="1"/>
    <xf numFmtId="0" fontId="0" fillId="5" borderId="7" xfId="0" applyFill="1" applyBorder="1"/>
    <xf numFmtId="0" fontId="0" fillId="5" borderId="0" xfId="0" applyFill="1" applyBorder="1"/>
    <xf numFmtId="0" fontId="0" fillId="6" borderId="2" xfId="0" applyFill="1" applyBorder="1"/>
    <xf numFmtId="0" fontId="0" fillId="6" borderId="10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1" xfId="0" applyFill="1" applyBorder="1"/>
    <xf numFmtId="0" fontId="0" fillId="6" borderId="5" xfId="0" applyFill="1" applyBorder="1"/>
    <xf numFmtId="0" fontId="7" fillId="6" borderId="13" xfId="0" applyFont="1" applyFill="1" applyBorder="1" applyAlignment="1">
      <alignment horizontal="center"/>
    </xf>
    <xf numFmtId="0" fontId="0" fillId="7" borderId="2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4" xfId="0" applyFill="1" applyBorder="1"/>
    <xf numFmtId="0" fontId="0" fillId="7" borderId="11" xfId="0" applyFill="1" applyBorder="1"/>
    <xf numFmtId="0" fontId="0" fillId="8" borderId="8" xfId="0" applyFill="1" applyBorder="1"/>
    <xf numFmtId="0" fontId="0" fillId="8" borderId="12" xfId="0" applyFill="1" applyBorder="1"/>
    <xf numFmtId="0" fontId="0" fillId="8" borderId="5" xfId="0" applyFill="1" applyBorder="1"/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16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166" fontId="0" fillId="3" borderId="3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66" fontId="0" fillId="3" borderId="7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11" xfId="0" applyFill="1" applyBorder="1" applyAlignment="1">
      <alignment horizontal="center"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/>
    <xf numFmtId="0" fontId="0" fillId="3" borderId="11" xfId="0" applyFill="1" applyBorder="1" applyAlignment="1"/>
    <xf numFmtId="0" fontId="0" fillId="0" borderId="10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0" xfId="0" applyFill="1" applyBorder="1" applyAlignment="1"/>
    <xf numFmtId="166" fontId="0" fillId="9" borderId="3" xfId="0" applyNumberFormat="1" applyFill="1" applyBorder="1" applyAlignment="1"/>
    <xf numFmtId="0" fontId="0" fillId="9" borderId="0" xfId="0" applyFill="1" applyBorder="1" applyAlignment="1"/>
    <xf numFmtId="166" fontId="0" fillId="9" borderId="7" xfId="0" applyNumberFormat="1" applyFill="1" applyBorder="1" applyAlignment="1"/>
    <xf numFmtId="0" fontId="0" fillId="9" borderId="11" xfId="0" applyFill="1" applyBorder="1" applyAlignment="1"/>
    <xf numFmtId="166" fontId="0" fillId="9" borderId="5" xfId="0" applyNumberFormat="1" applyFill="1" applyBorder="1" applyAlignment="1"/>
    <xf numFmtId="0" fontId="0" fillId="9" borderId="13" xfId="0" applyFill="1" applyBorder="1" applyAlignment="1">
      <alignment horizontal="center" vertical="center"/>
    </xf>
    <xf numFmtId="0" fontId="0" fillId="9" borderId="8" xfId="0" applyFill="1" applyBorder="1" applyAlignment="1"/>
    <xf numFmtId="0" fontId="0" fillId="9" borderId="12" xfId="0" applyFill="1" applyBorder="1" applyAlignment="1"/>
    <xf numFmtId="166" fontId="0" fillId="9" borderId="9" xfId="0" applyNumberFormat="1" applyFill="1" applyBorder="1" applyAlignment="1"/>
    <xf numFmtId="0" fontId="0" fillId="9" borderId="6" xfId="0" applyFill="1" applyBorder="1" applyAlignment="1">
      <alignment horizontal="center" vertical="top"/>
    </xf>
    <xf numFmtId="0" fontId="0" fillId="9" borderId="4" xfId="0" applyFill="1" applyBorder="1" applyAlignment="1"/>
    <xf numFmtId="0" fontId="0" fillId="9" borderId="14" xfId="0" applyFill="1" applyBorder="1" applyAlignment="1">
      <alignment horizontal="center" vertical="center"/>
    </xf>
    <xf numFmtId="0" fontId="0" fillId="9" borderId="2" xfId="0" applyFill="1" applyBorder="1" applyAlignment="1"/>
    <xf numFmtId="0" fontId="0" fillId="9" borderId="6" xfId="0" applyFill="1" applyBorder="1" applyAlignmen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7" fillId="7" borderId="8" xfId="0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1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9" borderId="2" xfId="0" applyFill="1" applyBorder="1" applyAlignment="1">
      <alignment horizontal="center" vertical="top"/>
    </xf>
    <xf numFmtId="0" fontId="0" fillId="9" borderId="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2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9" borderId="14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top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6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166" fontId="0" fillId="3" borderId="15" xfId="0" applyNumberForma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/>
    </xf>
    <xf numFmtId="166" fontId="0" fillId="0" borderId="6" xfId="0" applyNumberFormat="1" applyBorder="1" applyAlignment="1">
      <alignment horizontal="left"/>
    </xf>
    <xf numFmtId="166" fontId="0" fillId="0" borderId="4" xfId="0" applyNumberFormat="1" applyBorder="1" applyAlignment="1">
      <alignment horizontal="left"/>
    </xf>
    <xf numFmtId="0" fontId="0" fillId="0" borderId="5" xfId="0" applyFont="1" applyFill="1" applyBorder="1"/>
  </cellXfs>
  <cellStyles count="3">
    <cellStyle name="Link" xfId="2" builtinId="8"/>
    <cellStyle name="Standard" xfId="0" builtinId="0"/>
    <cellStyle name="Währung" xfId="1" builtinId="4"/>
  </cellStyles>
  <dxfs count="47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46">
  <autoFilter ref="A4:T20" xr:uid="{96AC54A7-3AF8-4232-A7CA-7456C1206A29}">
    <filterColumn colId="8">
      <filters>
        <filter val="Basis"/>
        <filter val="Heizung"/>
        <filter val="Jalosine"/>
        <filter val="Licht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45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44">
      <calculatedColumnFormula>Tabelle1[[#This Row],[TE]]*SUM(Tabelle1[[#This Row],[Küche]:[Klo]])</calculatedColumnFormula>
    </tableColumn>
    <tableColumn id="7" xr3:uid="{0CA81A17-BA15-4983-A8A2-0242A8B6B19B}" name="Herstellernummer" dataDxfId="43"/>
    <tableColumn id="4" xr3:uid="{4718EDFC-681A-42DA-B15F-DB810E8C969C}" name="Preis" dataCellStyle="Währung"/>
    <tableColumn id="3" xr3:uid="{4FF9F7BA-61AC-46A6-97D4-0F99D7290E70}" name="Preis/Kanal" dataDxfId="42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41"/>
    <tableColumn id="9" xr3:uid="{71B99BB4-E121-4AC6-B2CC-B8283468FBBB}" name="Esszimmer" dataDxfId="40"/>
    <tableColumn id="10" xr3:uid="{E4662B22-8FAD-414C-AAE6-B24E2CAB28D4}" name="Wohnzimmer" dataDxfId="39"/>
    <tableColumn id="11" xr3:uid="{204170EB-6A51-4091-9F43-2BB5DD265154}" name="Speis" dataDxfId="38"/>
    <tableColumn id="12" xr3:uid="{18FF780B-8CBB-488D-B52A-5E6374864CB2}" name="Bad" dataDxfId="37"/>
    <tableColumn id="13" xr3:uid="{57EE2B1E-BB13-46B9-B6BC-CF4F5FCCDB66}" name="Gang" dataDxfId="36"/>
    <tableColumn id="14" xr3:uid="{E92F9A3C-E1C5-4882-916E-DA389241E99B}" name="Schalafzimmer" dataDxfId="35"/>
    <tableColumn id="15" xr3:uid="{3799BA4D-FAD2-475F-B312-0E659992795D}" name="Klo" dataDxfId="34"/>
    <tableColumn id="17" xr3:uid="{17A122D9-4F1D-40D7-A3F8-16439D99B479}" name="KNX-fähig"/>
    <tableColumn id="6" xr3:uid="{12170A0C-6A62-4A83-B4B9-2C3B5CC64F58}" name="Menge KNX-Geräte" dataDxfId="33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32" totalsRowDxfId="7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31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 dataDxfId="30"/>
    <tableColumn id="3" xr3:uid="{0CC211E9-3E8B-4225-8060-D732679A1D25}" name="Esszimmer" dataDxfId="29"/>
    <tableColumn id="4" xr3:uid="{B0776194-2185-4A16-BB15-3EBC5FD9646A}" name="Wohnzimmer" dataDxfId="28"/>
    <tableColumn id="5" xr3:uid="{8C8ADB2C-52AC-486F-9B7F-0CE92A14546B}" name="Speis" dataDxfId="27"/>
    <tableColumn id="6" xr3:uid="{37719EDB-C601-4604-9CE6-3E19F4DC3B38}" name="Bad" dataDxfId="26"/>
    <tableColumn id="7" xr3:uid="{07E1B0C6-C411-4574-8D01-297094ADFF8E}" name="Gang" dataDxfId="25"/>
    <tableColumn id="8" xr3:uid="{523F6610-FD02-45F2-B727-E43C97AB7701}" name="Schalafzimmer" dataDxfId="24"/>
    <tableColumn id="9" xr3:uid="{439EBBEB-C21F-4366-B359-B750404A6C1C}" name="Klo" dataDxfId="23"/>
    <tableColumn id="11" xr3:uid="{21D0A73C-1259-4B5E-9160-E7893ABAD12E}" name="Hof" dataDxfId="22"/>
    <tableColumn id="10" xr3:uid="{3550BC49-49F6-41E8-A343-46EDD7312783}" name="Summe" dataDxfId="21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7">
  <autoFilter ref="A1:F7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20"/>
    <tableColumn id="6" xr3:uid="{5EE9FC28-C66B-4A96-9BA9-8280EC2E6589}" name="Kategorie" dataDxfId="19"/>
    <tableColumn id="3" xr3:uid="{BD741B7D-FC24-407C-91C4-67731AA078DF}" name="Beschreibung" dataDxfId="18"/>
    <tableColumn id="4" xr3:uid="{A87B7F3E-D2EF-4CAF-A80F-6E407E6EC1B1}" name="Konto" dataDxfId="17"/>
    <tableColumn id="5" xr3:uid="{82BE7E6D-F523-4932-9103-8E1EB61BB46A}" name="Betrag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15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4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3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2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47" headerRowDxfId="11" headerRowBorderDxfId="10" tableBorderDxfId="9">
  <autoFilter ref="A32:C47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8" totalsRowDxfId="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topLeftCell="G13" zoomScaleNormal="100" workbookViewId="0">
      <selection activeCell="O7" sqref="O7"/>
    </sheetView>
  </sheetViews>
  <sheetFormatPr baseColWidth="10" defaultRowHeight="15" outlineLevelCol="2" x14ac:dyDescent="0.25"/>
  <cols>
    <col min="1" max="1" width="33.85546875" bestFit="1" customWidth="1"/>
    <col min="2" max="3" width="6" hidden="1" customWidth="1" outlineLevel="2"/>
    <col min="4" max="5" width="5.28515625" hidden="1" customWidth="1" outlineLevel="2"/>
    <col min="6" max="6" width="71.85546875" customWidth="1" outlineLevel="1" collapsed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customWidth="1" outlineLevel="1"/>
    <col min="18" max="18" width="6" bestFit="1" customWidth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</row>
    <row r="2" spans="1:20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</row>
    <row r="4" spans="1:20" s="3" customFormat="1" ht="82.5" x14ac:dyDescent="0.25">
      <c r="A4" s="3" t="s">
        <v>1</v>
      </c>
      <c r="B4" s="15" t="s">
        <v>56</v>
      </c>
      <c r="C4" s="15" t="s">
        <v>57</v>
      </c>
      <c r="D4" s="15" t="s">
        <v>48</v>
      </c>
      <c r="E4" s="15" t="s">
        <v>52</v>
      </c>
      <c r="F4" s="3" t="s">
        <v>4</v>
      </c>
      <c r="G4" s="4" t="s">
        <v>2</v>
      </c>
      <c r="H4" s="4" t="s">
        <v>123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x14ac:dyDescent="0.25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0">
        <v>1</v>
      </c>
      <c r="K5" s="10"/>
      <c r="L5" s="10">
        <v>1</v>
      </c>
      <c r="M5" s="10"/>
      <c r="N5" s="10"/>
      <c r="O5" s="10"/>
      <c r="P5" s="10">
        <v>2</v>
      </c>
      <c r="Q5" s="10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x14ac:dyDescent="0.25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0"/>
      <c r="K6" s="10"/>
      <c r="L6" s="10"/>
      <c r="M6" s="10"/>
      <c r="N6" s="10"/>
      <c r="O6" s="10">
        <v>1</v>
      </c>
      <c r="P6" s="10"/>
      <c r="Q6" s="10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x14ac:dyDescent="0.25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0"/>
      <c r="K7" s="10"/>
      <c r="L7" s="10"/>
      <c r="M7" s="10"/>
      <c r="N7" s="10"/>
      <c r="O7" s="10">
        <v>1</v>
      </c>
      <c r="P7" s="10"/>
      <c r="Q7" s="10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x14ac:dyDescent="0.25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0"/>
      <c r="K8" s="10"/>
      <c r="L8" s="10"/>
      <c r="M8" s="10"/>
      <c r="N8" s="10"/>
      <c r="O8" s="10">
        <v>1</v>
      </c>
      <c r="P8" s="10"/>
      <c r="Q8" s="10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x14ac:dyDescent="0.25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0"/>
      <c r="K9" s="10"/>
      <c r="L9" s="10"/>
      <c r="M9" s="10"/>
      <c r="N9" s="10"/>
      <c r="O9" s="10">
        <v>1</v>
      </c>
      <c r="P9" s="10"/>
      <c r="Q9" s="10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hidden="1" x14ac:dyDescent="0.25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0"/>
      <c r="K10" s="10"/>
      <c r="L10" s="10"/>
      <c r="M10" s="10"/>
      <c r="N10" s="10"/>
      <c r="O10" s="10">
        <v>1</v>
      </c>
      <c r="P10" s="10"/>
      <c r="Q10" s="10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hidden="1" x14ac:dyDescent="0.25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0"/>
      <c r="K11" s="10"/>
      <c r="L11" s="10"/>
      <c r="M11" s="10"/>
      <c r="N11" s="10"/>
      <c r="O11" s="10">
        <v>1</v>
      </c>
      <c r="P11" s="10"/>
      <c r="Q11" s="10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hidden="1" x14ac:dyDescent="0.25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0"/>
      <c r="K12" s="10"/>
      <c r="L12" s="10"/>
      <c r="M12" s="10"/>
      <c r="N12" s="10"/>
      <c r="O12" s="10">
        <v>2</v>
      </c>
      <c r="P12" s="10"/>
      <c r="Q12" s="10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x14ac:dyDescent="0.25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0"/>
      <c r="K13" s="10"/>
      <c r="L13" s="10"/>
      <c r="M13" s="10"/>
      <c r="N13" s="10"/>
      <c r="O13" s="10">
        <v>1</v>
      </c>
      <c r="P13" s="10"/>
      <c r="Q13" s="10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x14ac:dyDescent="0.25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0"/>
      <c r="K14" s="10">
        <v>1</v>
      </c>
      <c r="L14" s="10">
        <v>1</v>
      </c>
      <c r="M14" s="10"/>
      <c r="N14" s="10">
        <v>1</v>
      </c>
      <c r="O14" s="10"/>
      <c r="P14" s="10">
        <v>1</v>
      </c>
      <c r="Q14" s="10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x14ac:dyDescent="0.25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0"/>
      <c r="K15" s="10"/>
      <c r="L15" s="10"/>
      <c r="M15" s="10"/>
      <c r="N15" s="10"/>
      <c r="O15" s="10">
        <v>1</v>
      </c>
      <c r="P15" s="10"/>
      <c r="Q15" s="10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x14ac:dyDescent="0.25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0"/>
      <c r="K16" s="10"/>
      <c r="L16" s="10"/>
      <c r="M16" s="10"/>
      <c r="N16" s="10"/>
      <c r="O16" s="10">
        <v>1</v>
      </c>
      <c r="P16" s="10"/>
      <c r="Q16" s="10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0"/>
      <c r="K17" s="10">
        <v>1</v>
      </c>
      <c r="L17" s="10">
        <v>1</v>
      </c>
      <c r="M17" s="10"/>
      <c r="N17" s="10">
        <v>1</v>
      </c>
      <c r="O17" s="10">
        <v>1</v>
      </c>
      <c r="P17" s="10">
        <v>1</v>
      </c>
      <c r="Q17" s="10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x14ac:dyDescent="0.25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124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0"/>
      <c r="K18" s="10"/>
      <c r="L18" s="10"/>
      <c r="M18" s="10"/>
      <c r="N18" s="10"/>
      <c r="O18" s="10">
        <v>1</v>
      </c>
      <c r="P18" s="10"/>
      <c r="Q18" s="10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x14ac:dyDescent="0.25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0"/>
      <c r="K19" s="10"/>
      <c r="L19" s="10"/>
      <c r="M19" s="10"/>
      <c r="N19" s="10"/>
      <c r="O19" s="10">
        <v>1</v>
      </c>
      <c r="P19" s="10"/>
      <c r="Q19" s="10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x14ac:dyDescent="0.25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0"/>
      <c r="K20" s="10"/>
      <c r="L20" s="10"/>
      <c r="M20" s="10"/>
      <c r="N20" s="10"/>
      <c r="O20" s="10">
        <v>1</v>
      </c>
      <c r="P20" s="10"/>
      <c r="Q20" s="10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.75" thickBot="1" x14ac:dyDescent="0.3">
      <c r="T21" s="19">
        <f>SUBTOTAL(109,Tabelle1[Endpreis])</f>
        <v>2730.43</v>
      </c>
    </row>
    <row r="22" spans="1:22" x14ac:dyDescent="0.25">
      <c r="U22" s="11" t="s">
        <v>53</v>
      </c>
      <c r="V22" s="18">
        <f>SUBTOTAL(109,Tabelle1[Menge KNX-Geräte])</f>
        <v>18</v>
      </c>
    </row>
    <row r="23" spans="1:22" ht="15.75" thickBot="1" x14ac:dyDescent="0.3">
      <c r="U23" s="13" t="s">
        <v>54</v>
      </c>
      <c r="V23" s="14">
        <f>SUBTOTAL(109,Tabelle1[Platzbedarf])</f>
        <v>51</v>
      </c>
    </row>
    <row r="24" spans="1:22" x14ac:dyDescent="0.25">
      <c r="U24" s="11" t="s">
        <v>50</v>
      </c>
      <c r="V24" s="12">
        <f>Schaltstellen!K3+Schaltstellen!K5+Schaltstellen!K6*2</f>
        <v>26</v>
      </c>
    </row>
    <row r="25" spans="1:22" ht="15.75" thickBot="1" x14ac:dyDescent="0.3">
      <c r="U25" s="13" t="s">
        <v>51</v>
      </c>
      <c r="V25" s="14">
        <f>Schaltstellen!K4</f>
        <v>3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I18" sqref="I18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6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7" t="s">
        <v>58</v>
      </c>
      <c r="K2" s="6" t="s">
        <v>36</v>
      </c>
    </row>
    <row r="3" spans="1:11" x14ac:dyDescent="0.25">
      <c r="A3" t="s">
        <v>33</v>
      </c>
      <c r="B3" s="10">
        <v>2</v>
      </c>
      <c r="C3" s="10">
        <v>1</v>
      </c>
      <c r="D3" s="10"/>
      <c r="E3" s="10"/>
      <c r="F3" s="10">
        <v>1</v>
      </c>
      <c r="G3" s="10"/>
      <c r="H3" s="10">
        <v>1</v>
      </c>
      <c r="I3" s="10"/>
      <c r="J3" s="10"/>
      <c r="K3" s="10">
        <f>SUM(Tabelle2[[#This Row],[Küche]:[Hof]])</f>
        <v>5</v>
      </c>
    </row>
    <row r="4" spans="1:11" x14ac:dyDescent="0.25">
      <c r="A4" t="s">
        <v>34</v>
      </c>
      <c r="B4" s="10"/>
      <c r="C4" s="10"/>
      <c r="D4" s="10"/>
      <c r="E4" s="10"/>
      <c r="F4" s="10">
        <v>1</v>
      </c>
      <c r="G4" s="10">
        <v>1</v>
      </c>
      <c r="H4" s="10">
        <v>1</v>
      </c>
      <c r="I4" s="10"/>
      <c r="J4" s="10"/>
      <c r="K4" s="10">
        <f>SUM(Tabelle2[[#This Row],[Küche]:[Hof]])</f>
        <v>3</v>
      </c>
    </row>
    <row r="5" spans="1:11" x14ac:dyDescent="0.25">
      <c r="A5" t="s">
        <v>35</v>
      </c>
      <c r="B5" s="10">
        <v>3</v>
      </c>
      <c r="C5" s="10"/>
      <c r="D5" s="10"/>
      <c r="E5" s="10"/>
      <c r="F5" s="10"/>
      <c r="G5" s="10">
        <v>1</v>
      </c>
      <c r="H5" s="10">
        <v>5</v>
      </c>
      <c r="I5" s="10"/>
      <c r="J5" s="10"/>
      <c r="K5" s="10">
        <f>SUM(Tabelle2[[#This Row],[Küche]:[Hof]])</f>
        <v>9</v>
      </c>
    </row>
    <row r="6" spans="1:11" x14ac:dyDescent="0.25">
      <c r="A6" t="s">
        <v>49</v>
      </c>
      <c r="B6" s="10">
        <v>1</v>
      </c>
      <c r="C6" s="10">
        <v>2</v>
      </c>
      <c r="D6" s="10">
        <v>1</v>
      </c>
      <c r="E6" s="10"/>
      <c r="F6" s="10">
        <v>1</v>
      </c>
      <c r="G6" s="10"/>
      <c r="H6" s="10">
        <v>1</v>
      </c>
      <c r="I6" s="10"/>
      <c r="J6" s="10"/>
      <c r="K6" s="142">
        <f>SUM(Tabelle2[[#This Row],[Küche]:[Hof]])</f>
        <v>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H7"/>
  <sheetViews>
    <sheetView workbookViewId="0">
      <selection activeCell="A8" sqref="A8"/>
    </sheetView>
  </sheetViews>
  <sheetFormatPr baseColWidth="10" defaultRowHeight="15" x14ac:dyDescent="0.25"/>
  <cols>
    <col min="1" max="1" width="10.140625" bestFit="1" customWidth="1"/>
    <col min="2" max="2" width="16.5703125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8" x14ac:dyDescent="0.25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8" x14ac:dyDescent="0.25">
      <c r="A2" s="20">
        <v>44168</v>
      </c>
      <c r="B2" s="22" t="s">
        <v>71</v>
      </c>
      <c r="C2" s="22" t="s">
        <v>74</v>
      </c>
      <c r="D2" s="22" t="s">
        <v>72</v>
      </c>
      <c r="E2" s="22" t="s">
        <v>73</v>
      </c>
      <c r="F2" s="21">
        <v>296.82</v>
      </c>
    </row>
    <row r="3" spans="1:8" x14ac:dyDescent="0.25">
      <c r="A3" s="20">
        <v>44181</v>
      </c>
      <c r="B3" s="22" t="s">
        <v>111</v>
      </c>
      <c r="C3" s="22" t="s">
        <v>74</v>
      </c>
      <c r="D3" s="22" t="s">
        <v>112</v>
      </c>
      <c r="E3" s="22" t="s">
        <v>73</v>
      </c>
      <c r="F3" s="21">
        <v>52.46</v>
      </c>
      <c r="H3" s="82" t="s">
        <v>166</v>
      </c>
    </row>
    <row r="4" spans="1:8" x14ac:dyDescent="0.25">
      <c r="A4" s="20">
        <v>44183</v>
      </c>
      <c r="B4" s="22" t="s">
        <v>156</v>
      </c>
      <c r="C4" s="22" t="s">
        <v>157</v>
      </c>
      <c r="D4" s="22" t="s">
        <v>158</v>
      </c>
      <c r="E4" s="22" t="s">
        <v>73</v>
      </c>
      <c r="F4" s="21">
        <v>255.49</v>
      </c>
      <c r="H4" s="82">
        <f>SUBTOTAL(109,Tabelle3[Betrag])</f>
        <v>914.84</v>
      </c>
    </row>
    <row r="5" spans="1:8" x14ac:dyDescent="0.25">
      <c r="A5" s="20">
        <v>44188</v>
      </c>
      <c r="B5" s="22" t="s">
        <v>156</v>
      </c>
      <c r="C5" s="22" t="s">
        <v>74</v>
      </c>
      <c r="D5" s="22" t="s">
        <v>185</v>
      </c>
      <c r="E5" s="22" t="s">
        <v>73</v>
      </c>
      <c r="F5" s="21">
        <v>162.85</v>
      </c>
    </row>
    <row r="6" spans="1:8" x14ac:dyDescent="0.25">
      <c r="A6" s="20">
        <v>44196</v>
      </c>
      <c r="B6" s="22" t="s">
        <v>182</v>
      </c>
      <c r="C6" s="22" t="s">
        <v>74</v>
      </c>
      <c r="D6" s="22" t="s">
        <v>183</v>
      </c>
      <c r="E6" s="22" t="s">
        <v>184</v>
      </c>
      <c r="F6" s="21">
        <v>80</v>
      </c>
    </row>
    <row r="7" spans="1:8" x14ac:dyDescent="0.25">
      <c r="A7" s="20">
        <v>44203</v>
      </c>
      <c r="B7" s="22" t="s">
        <v>156</v>
      </c>
      <c r="C7" s="22" t="s">
        <v>74</v>
      </c>
      <c r="D7" s="22" t="s">
        <v>186</v>
      </c>
      <c r="E7" s="22" t="s">
        <v>73</v>
      </c>
      <c r="F7" s="21">
        <v>67.22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49"/>
  <sheetViews>
    <sheetView tabSelected="1" zoomScaleNormal="100" workbookViewId="0">
      <selection activeCell="AH16" sqref="AH16"/>
    </sheetView>
  </sheetViews>
  <sheetFormatPr baseColWidth="10" defaultRowHeight="15" x14ac:dyDescent="0.25"/>
  <cols>
    <col min="1" max="1" width="11.28515625" customWidth="1"/>
    <col min="2" max="2" width="24.5703125" customWidth="1"/>
    <col min="3" max="3" width="3.140625" bestFit="1" customWidth="1"/>
    <col min="4" max="4" width="4" style="10" customWidth="1"/>
    <col min="5" max="29" width="2.140625" customWidth="1"/>
  </cols>
  <sheetData>
    <row r="1" spans="1:29" ht="19.5" thickBot="1" x14ac:dyDescent="0.3">
      <c r="A1" s="154" t="s">
        <v>164</v>
      </c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6"/>
    </row>
    <row r="2" spans="1:29" ht="6.6" customHeight="1" thickBot="1" x14ac:dyDescent="0.3">
      <c r="E2" s="167">
        <v>1</v>
      </c>
      <c r="J2" s="167">
        <v>6</v>
      </c>
      <c r="P2" s="167">
        <v>12</v>
      </c>
      <c r="R2" s="167">
        <v>13</v>
      </c>
      <c r="X2" s="167">
        <v>19</v>
      </c>
      <c r="AC2" s="167">
        <v>24</v>
      </c>
    </row>
    <row r="3" spans="1:29" ht="15.75" thickBot="1" x14ac:dyDescent="0.3">
      <c r="A3" s="169" t="s">
        <v>146</v>
      </c>
      <c r="B3" s="171"/>
      <c r="C3" s="36"/>
      <c r="E3" s="168"/>
      <c r="J3" s="168"/>
      <c r="P3" s="168"/>
      <c r="R3" s="168"/>
      <c r="X3" s="168"/>
      <c r="AC3" s="168"/>
    </row>
    <row r="4" spans="1:29" ht="15.75" thickBot="1" x14ac:dyDescent="0.3">
      <c r="A4" s="25" t="s">
        <v>80</v>
      </c>
      <c r="B4" s="25" t="s">
        <v>125</v>
      </c>
      <c r="E4" s="11"/>
      <c r="F4" s="28"/>
      <c r="G4" s="28"/>
      <c r="H4" s="28"/>
      <c r="I4" s="28"/>
      <c r="J4" s="28"/>
      <c r="K4" s="28"/>
      <c r="L4" s="28"/>
      <c r="M4" s="28"/>
      <c r="N4" s="28"/>
      <c r="O4" s="28"/>
      <c r="P4" s="12"/>
      <c r="R4" s="11"/>
      <c r="S4" s="28"/>
      <c r="T4" s="28"/>
      <c r="U4" s="28"/>
      <c r="V4" s="28"/>
      <c r="W4" s="28"/>
      <c r="X4" s="28"/>
      <c r="Y4" s="28"/>
      <c r="Z4" s="28"/>
      <c r="AA4" s="28"/>
      <c r="AB4" s="28"/>
      <c r="AC4" s="12"/>
    </row>
    <row r="5" spans="1:29" ht="15.75" thickBot="1" x14ac:dyDescent="0.3">
      <c r="A5" s="209">
        <v>1</v>
      </c>
      <c r="B5" s="12" t="s">
        <v>170</v>
      </c>
      <c r="C5" s="25"/>
      <c r="E5" s="23"/>
      <c r="F5" s="25"/>
      <c r="G5" s="25"/>
      <c r="H5" s="25"/>
      <c r="I5" s="25"/>
      <c r="J5" s="25"/>
      <c r="K5" s="25"/>
      <c r="L5" s="25"/>
      <c r="M5" s="25"/>
      <c r="N5" s="25"/>
      <c r="O5" s="25"/>
      <c r="P5" s="24"/>
      <c r="R5" s="23"/>
      <c r="S5" s="25"/>
      <c r="T5" s="25"/>
      <c r="U5" s="25"/>
      <c r="V5" s="25"/>
      <c r="W5" s="25"/>
      <c r="X5" s="25"/>
      <c r="Y5" s="25"/>
      <c r="Z5" s="25"/>
      <c r="AA5" s="25"/>
      <c r="AB5" s="25"/>
      <c r="AC5" s="24"/>
    </row>
    <row r="6" spans="1:29" ht="15.75" thickBot="1" x14ac:dyDescent="0.3">
      <c r="A6" s="210">
        <v>2</v>
      </c>
      <c r="B6" s="24" t="s">
        <v>171</v>
      </c>
      <c r="C6" s="25"/>
      <c r="D6" s="10">
        <v>1</v>
      </c>
      <c r="E6" s="151" t="s">
        <v>142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3"/>
      <c r="R6" s="151" t="s">
        <v>144</v>
      </c>
      <c r="S6" s="152"/>
      <c r="T6" s="152"/>
      <c r="U6" s="152"/>
      <c r="V6" s="152"/>
      <c r="W6" s="153"/>
      <c r="X6" s="151" t="s">
        <v>145</v>
      </c>
      <c r="Y6" s="152"/>
      <c r="Z6" s="152"/>
      <c r="AA6" s="152"/>
      <c r="AB6" s="152"/>
      <c r="AC6" s="153"/>
    </row>
    <row r="7" spans="1:29" x14ac:dyDescent="0.25">
      <c r="A7" s="210">
        <v>3</v>
      </c>
      <c r="B7" s="24" t="s">
        <v>172</v>
      </c>
      <c r="C7" s="25"/>
      <c r="E7" s="23"/>
      <c r="F7" s="25"/>
      <c r="G7" s="25"/>
      <c r="H7" s="25"/>
      <c r="I7" s="25"/>
      <c r="J7" s="25"/>
      <c r="K7" s="25"/>
      <c r="L7" s="25"/>
      <c r="M7" s="25"/>
      <c r="N7" s="25"/>
      <c r="O7" s="25"/>
      <c r="P7" s="24"/>
      <c r="R7" s="23"/>
      <c r="S7" s="25"/>
      <c r="T7" s="25"/>
      <c r="U7" s="25"/>
      <c r="V7" s="25"/>
      <c r="W7" s="25"/>
      <c r="X7" s="25"/>
      <c r="Y7" s="25"/>
      <c r="Z7" s="25"/>
      <c r="AA7" s="25"/>
      <c r="AB7" s="25"/>
      <c r="AC7" s="24"/>
    </row>
    <row r="8" spans="1:29" ht="15.75" thickBot="1" x14ac:dyDescent="0.3">
      <c r="A8" s="210">
        <v>4</v>
      </c>
      <c r="B8" s="24" t="s">
        <v>28</v>
      </c>
      <c r="C8" s="25"/>
      <c r="E8" s="23"/>
      <c r="F8" s="25"/>
      <c r="G8" s="25"/>
      <c r="H8" s="25"/>
      <c r="I8" s="25"/>
      <c r="J8" s="25"/>
      <c r="K8" s="25"/>
      <c r="L8" s="25"/>
      <c r="M8" s="25"/>
      <c r="N8" s="25"/>
      <c r="O8" s="25"/>
      <c r="P8" s="24"/>
      <c r="R8" s="23"/>
      <c r="S8" s="25"/>
      <c r="T8" s="25"/>
      <c r="U8" s="25"/>
      <c r="V8" s="25"/>
      <c r="W8" s="25"/>
      <c r="X8" s="25"/>
      <c r="Y8" s="25"/>
      <c r="Z8" s="25"/>
      <c r="AA8" s="25"/>
      <c r="AB8" s="25"/>
      <c r="AC8" s="24"/>
    </row>
    <row r="9" spans="1:29" ht="15.75" thickBot="1" x14ac:dyDescent="0.3">
      <c r="A9" s="210">
        <v>5</v>
      </c>
      <c r="B9" s="24" t="s">
        <v>173</v>
      </c>
      <c r="C9" s="25"/>
      <c r="D9" s="10">
        <v>2</v>
      </c>
      <c r="E9" s="151" t="s">
        <v>142</v>
      </c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3"/>
      <c r="R9" s="151" t="s">
        <v>142</v>
      </c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3"/>
    </row>
    <row r="10" spans="1:29" x14ac:dyDescent="0.25">
      <c r="A10" s="210">
        <v>6</v>
      </c>
      <c r="B10" s="24" t="s">
        <v>174</v>
      </c>
      <c r="C10" s="25"/>
      <c r="E10" s="23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4"/>
      <c r="R10" s="23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4"/>
    </row>
    <row r="11" spans="1:29" ht="15.75" thickBot="1" x14ac:dyDescent="0.3">
      <c r="A11" s="210">
        <v>7</v>
      </c>
      <c r="B11" s="24" t="s">
        <v>95</v>
      </c>
      <c r="C11" s="25"/>
      <c r="E11" s="23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4"/>
      <c r="R11" s="23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4"/>
    </row>
    <row r="12" spans="1:29" ht="15.75" thickBot="1" x14ac:dyDescent="0.3">
      <c r="A12" s="210"/>
      <c r="B12" s="24"/>
      <c r="C12" s="25"/>
      <c r="D12" s="10">
        <v>3</v>
      </c>
      <c r="E12" s="151" t="s">
        <v>138</v>
      </c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3"/>
      <c r="R12" s="151" t="s">
        <v>120</v>
      </c>
      <c r="S12" s="152"/>
      <c r="T12" s="152"/>
      <c r="U12" s="153"/>
      <c r="V12" s="151" t="s">
        <v>137</v>
      </c>
      <c r="W12" s="152"/>
      <c r="X12" s="152"/>
      <c r="Y12" s="152"/>
      <c r="Z12" s="152"/>
      <c r="AA12" s="152"/>
      <c r="AB12" s="152"/>
      <c r="AC12" s="153"/>
    </row>
    <row r="13" spans="1:29" x14ac:dyDescent="0.25">
      <c r="A13" s="209">
        <v>8</v>
      </c>
      <c r="B13" s="12" t="s">
        <v>93</v>
      </c>
      <c r="C13" s="25"/>
      <c r="E13" s="23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4"/>
      <c r="R13" s="23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4"/>
    </row>
    <row r="14" spans="1:29" ht="15.75" thickBot="1" x14ac:dyDescent="0.3">
      <c r="A14" s="210">
        <v>9</v>
      </c>
      <c r="B14" s="24" t="s">
        <v>94</v>
      </c>
      <c r="C14" s="25"/>
      <c r="E14" s="23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4"/>
      <c r="R14" s="23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4"/>
    </row>
    <row r="15" spans="1:29" ht="15.75" thickBot="1" x14ac:dyDescent="0.3">
      <c r="A15" s="210">
        <v>10</v>
      </c>
      <c r="B15" s="24" t="s">
        <v>87</v>
      </c>
      <c r="C15" s="25"/>
      <c r="D15" s="10">
        <v>4</v>
      </c>
      <c r="E15" s="151" t="s">
        <v>141</v>
      </c>
      <c r="F15" s="152"/>
      <c r="G15" s="152"/>
      <c r="H15" s="153"/>
      <c r="I15" s="30"/>
      <c r="J15" s="30"/>
      <c r="K15" s="30"/>
      <c r="L15" s="30"/>
      <c r="M15" s="151" t="s">
        <v>139</v>
      </c>
      <c r="N15" s="152"/>
      <c r="O15" s="152"/>
      <c r="P15" s="153"/>
      <c r="R15" s="151" t="s">
        <v>121</v>
      </c>
      <c r="S15" s="152"/>
      <c r="T15" s="152"/>
      <c r="U15" s="152"/>
      <c r="V15" s="169" t="s">
        <v>187</v>
      </c>
      <c r="W15" s="170"/>
      <c r="X15" s="170"/>
      <c r="Y15" s="170"/>
      <c r="Z15" s="170"/>
      <c r="AA15" s="170"/>
      <c r="AB15" s="171"/>
      <c r="AC15" s="35"/>
    </row>
    <row r="16" spans="1:29" x14ac:dyDescent="0.25">
      <c r="A16" s="210">
        <v>11</v>
      </c>
      <c r="B16" s="24" t="s">
        <v>129</v>
      </c>
      <c r="C16" s="25"/>
      <c r="E16" s="23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4"/>
      <c r="R16" s="23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4"/>
    </row>
    <row r="17" spans="1:29" ht="15.75" thickBot="1" x14ac:dyDescent="0.3">
      <c r="A17" s="210">
        <v>12</v>
      </c>
      <c r="B17" s="24" t="s">
        <v>129</v>
      </c>
      <c r="C17" s="25"/>
      <c r="E17" s="23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4"/>
      <c r="R17" s="23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4"/>
    </row>
    <row r="18" spans="1:29" ht="15.75" thickBot="1" x14ac:dyDescent="0.3">
      <c r="A18" s="210">
        <v>13</v>
      </c>
      <c r="B18" s="24" t="s">
        <v>129</v>
      </c>
      <c r="C18" s="25"/>
      <c r="D18" s="10">
        <v>5</v>
      </c>
      <c r="E18" s="172" t="s">
        <v>15</v>
      </c>
      <c r="F18" s="173"/>
      <c r="G18" s="174"/>
      <c r="H18" s="30"/>
      <c r="I18" s="30"/>
      <c r="J18" s="30"/>
      <c r="K18" s="30"/>
      <c r="L18" s="30"/>
      <c r="M18" s="30"/>
      <c r="N18" s="30"/>
      <c r="O18" s="30"/>
      <c r="P18" s="27"/>
      <c r="R18" s="151" t="s">
        <v>107</v>
      </c>
      <c r="S18" s="153"/>
      <c r="T18" s="151" t="s">
        <v>108</v>
      </c>
      <c r="U18" s="153"/>
      <c r="V18" s="151" t="s">
        <v>109</v>
      </c>
      <c r="W18" s="153"/>
      <c r="X18" s="31"/>
      <c r="Y18" s="31"/>
      <c r="Z18" s="31"/>
      <c r="AA18" s="31"/>
      <c r="AB18" s="31"/>
      <c r="AC18" s="32"/>
    </row>
    <row r="19" spans="1:29" ht="15.75" thickBot="1" x14ac:dyDescent="0.3">
      <c r="A19" s="210">
        <v>14</v>
      </c>
      <c r="B19" s="212" t="s">
        <v>130</v>
      </c>
      <c r="C19" s="25"/>
      <c r="E19" s="23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4"/>
      <c r="R19" s="23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4"/>
    </row>
    <row r="20" spans="1:29" ht="15.75" thickBot="1" x14ac:dyDescent="0.3">
      <c r="A20" s="211"/>
      <c r="C20" s="25"/>
      <c r="E20" s="23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4"/>
      <c r="R20" s="23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4"/>
    </row>
    <row r="21" spans="1:29" ht="15.75" thickBot="1" x14ac:dyDescent="0.3">
      <c r="D21" s="10">
        <v>6</v>
      </c>
      <c r="E21" s="175" t="s">
        <v>140</v>
      </c>
      <c r="F21" s="176"/>
      <c r="G21" s="151" t="s">
        <v>5</v>
      </c>
      <c r="H21" s="152"/>
      <c r="I21" s="152"/>
      <c r="J21" s="153"/>
      <c r="K21" s="26"/>
      <c r="L21" s="30"/>
      <c r="M21" s="30"/>
      <c r="N21" s="30"/>
      <c r="O21" s="151" t="s">
        <v>143</v>
      </c>
      <c r="P21" s="153"/>
      <c r="R21" s="33"/>
      <c r="S21" s="34"/>
      <c r="T21" s="34"/>
      <c r="U21" s="34"/>
      <c r="V21" s="34"/>
      <c r="W21" s="34"/>
      <c r="X21" s="30"/>
      <c r="Y21" s="30"/>
      <c r="Z21" s="30"/>
      <c r="AA21" s="30"/>
      <c r="AB21" s="30"/>
      <c r="AC21" s="27"/>
    </row>
    <row r="22" spans="1:29" x14ac:dyDescent="0.25">
      <c r="A22" t="s">
        <v>163</v>
      </c>
      <c r="B22" t="s">
        <v>113</v>
      </c>
      <c r="E22" s="2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4"/>
      <c r="R22" s="23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4"/>
    </row>
    <row r="23" spans="1:29" ht="15.75" thickBot="1" x14ac:dyDescent="0.3">
      <c r="A23" s="71">
        <v>1</v>
      </c>
      <c r="B23" t="s">
        <v>132</v>
      </c>
      <c r="E23" s="23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4"/>
      <c r="R23" s="23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4"/>
    </row>
    <row r="24" spans="1:29" ht="15.75" thickBot="1" x14ac:dyDescent="0.3">
      <c r="A24" s="71">
        <v>2</v>
      </c>
      <c r="B24" t="s">
        <v>133</v>
      </c>
      <c r="D24" s="10">
        <v>7</v>
      </c>
      <c r="E24" s="33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5"/>
      <c r="Q24" s="24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7"/>
    </row>
    <row r="25" spans="1:29" x14ac:dyDescent="0.25">
      <c r="E25" s="23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4"/>
      <c r="R25" s="23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4"/>
    </row>
    <row r="26" spans="1:29" ht="15.75" thickBot="1" x14ac:dyDescent="0.3">
      <c r="A26" t="s">
        <v>134</v>
      </c>
      <c r="B26" t="s">
        <v>135</v>
      </c>
      <c r="E26" s="13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14"/>
      <c r="R26" s="13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14"/>
    </row>
    <row r="27" spans="1:29" x14ac:dyDescent="0.25">
      <c r="A27" s="70">
        <v>17</v>
      </c>
      <c r="B27" t="s">
        <v>131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25">
      <c r="A28" s="70">
        <v>18</v>
      </c>
      <c r="B28" t="s">
        <v>175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25">
      <c r="A29" s="70">
        <v>19</v>
      </c>
      <c r="B29" t="s">
        <v>136</v>
      </c>
    </row>
    <row r="30" spans="1:29" ht="11.25" customHeight="1" thickBot="1" x14ac:dyDescent="0.3">
      <c r="A30" s="70"/>
    </row>
    <row r="31" spans="1:29" ht="15.75" thickBot="1" x14ac:dyDescent="0.3">
      <c r="A31" s="169" t="s">
        <v>147</v>
      </c>
      <c r="B31" s="170"/>
      <c r="C31" s="171"/>
      <c r="E31" s="11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12"/>
    </row>
    <row r="32" spans="1:29" ht="15.75" thickBot="1" x14ac:dyDescent="0.3">
      <c r="A32" s="26" t="s">
        <v>80</v>
      </c>
      <c r="B32" s="30" t="s">
        <v>125</v>
      </c>
      <c r="C32" s="27" t="s">
        <v>48</v>
      </c>
      <c r="E32" s="23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4"/>
    </row>
    <row r="33" spans="1:18" ht="15.75" thickBot="1" x14ac:dyDescent="0.3">
      <c r="A33" s="84" t="s">
        <v>120</v>
      </c>
      <c r="B33" s="85" t="s">
        <v>118</v>
      </c>
      <c r="C33" s="86">
        <v>4</v>
      </c>
      <c r="E33" s="169" t="s">
        <v>168</v>
      </c>
      <c r="F33" s="170"/>
      <c r="G33" s="170"/>
      <c r="H33" s="170"/>
      <c r="I33" s="170"/>
      <c r="J33" s="171"/>
      <c r="K33" s="30"/>
      <c r="L33" s="149" t="s">
        <v>165</v>
      </c>
      <c r="M33" s="150"/>
      <c r="N33" s="149" t="s">
        <v>155</v>
      </c>
      <c r="O33" s="157"/>
      <c r="P33" s="150"/>
      <c r="Q33" s="10">
        <v>1</v>
      </c>
    </row>
    <row r="34" spans="1:18" ht="15.75" thickBot="1" x14ac:dyDescent="0.3">
      <c r="A34" s="84" t="s">
        <v>100</v>
      </c>
      <c r="B34" s="87" t="s">
        <v>118</v>
      </c>
      <c r="C34" s="86">
        <v>3</v>
      </c>
      <c r="E34" s="23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4"/>
      <c r="Q34" s="10"/>
    </row>
    <row r="35" spans="1:18" ht="15.75" thickBot="1" x14ac:dyDescent="0.3">
      <c r="A35" s="88" t="s">
        <v>121</v>
      </c>
      <c r="B35" s="89" t="s">
        <v>117</v>
      </c>
      <c r="C35" s="90">
        <v>2</v>
      </c>
      <c r="E35" s="23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4"/>
      <c r="Q35" s="10"/>
    </row>
    <row r="36" spans="1:18" ht="15.75" thickBot="1" x14ac:dyDescent="0.3">
      <c r="A36" s="91" t="s">
        <v>101</v>
      </c>
      <c r="B36" s="92" t="s">
        <v>117</v>
      </c>
      <c r="C36" s="93">
        <v>1</v>
      </c>
      <c r="E36" s="162" t="s">
        <v>120</v>
      </c>
      <c r="F36" s="163"/>
      <c r="G36" s="163"/>
      <c r="H36" s="163"/>
      <c r="I36" s="164" t="s">
        <v>100</v>
      </c>
      <c r="J36" s="165"/>
      <c r="K36" s="166"/>
      <c r="L36" s="158" t="s">
        <v>121</v>
      </c>
      <c r="M36" s="159"/>
      <c r="N36" s="94" t="s">
        <v>101</v>
      </c>
      <c r="O36" s="160" t="s">
        <v>153</v>
      </c>
      <c r="P36" s="161"/>
      <c r="Q36" s="10">
        <v>2</v>
      </c>
    </row>
    <row r="37" spans="1:18" x14ac:dyDescent="0.25">
      <c r="A37" s="95" t="s">
        <v>150</v>
      </c>
      <c r="B37" s="96" t="s">
        <v>151</v>
      </c>
      <c r="C37" s="97">
        <v>4</v>
      </c>
      <c r="E37" s="23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4"/>
      <c r="Q37" s="10"/>
    </row>
    <row r="38" spans="1:18" ht="15.75" thickBot="1" x14ac:dyDescent="0.3">
      <c r="A38" s="98" t="s">
        <v>102</v>
      </c>
      <c r="B38" s="99" t="s">
        <v>122</v>
      </c>
      <c r="C38" s="97">
        <v>1</v>
      </c>
      <c r="E38" s="23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4"/>
      <c r="Q38" s="10"/>
    </row>
    <row r="39" spans="1:18" ht="15.75" thickBot="1" x14ac:dyDescent="0.3">
      <c r="A39" s="98" t="s">
        <v>103</v>
      </c>
      <c r="B39" s="99" t="s">
        <v>122</v>
      </c>
      <c r="C39" s="97">
        <v>1</v>
      </c>
      <c r="E39" s="144" t="s">
        <v>150</v>
      </c>
      <c r="F39" s="145"/>
      <c r="G39" s="145"/>
      <c r="H39" s="145"/>
      <c r="I39" s="146" t="s">
        <v>154</v>
      </c>
      <c r="J39" s="147"/>
      <c r="K39" s="147"/>
      <c r="L39" s="147"/>
      <c r="M39" s="148"/>
      <c r="N39" s="26"/>
      <c r="O39" s="30"/>
      <c r="P39" s="35"/>
      <c r="Q39" s="10">
        <v>3</v>
      </c>
    </row>
    <row r="40" spans="1:18" x14ac:dyDescent="0.25">
      <c r="A40" s="98" t="s">
        <v>104</v>
      </c>
      <c r="B40" s="99" t="s">
        <v>122</v>
      </c>
      <c r="C40" s="97">
        <v>1</v>
      </c>
      <c r="E40" s="43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5"/>
      <c r="Q40" s="10"/>
    </row>
    <row r="41" spans="1:18" ht="15.75" thickBot="1" x14ac:dyDescent="0.3">
      <c r="A41" s="98" t="s">
        <v>105</v>
      </c>
      <c r="B41" s="99" t="s">
        <v>148</v>
      </c>
      <c r="C41" s="97">
        <v>1</v>
      </c>
      <c r="E41" s="43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5"/>
      <c r="Q41" s="10"/>
    </row>
    <row r="42" spans="1:18" ht="15.75" thickBot="1" x14ac:dyDescent="0.3">
      <c r="A42" s="100" t="s">
        <v>106</v>
      </c>
      <c r="B42" s="101" t="s">
        <v>149</v>
      </c>
      <c r="C42" s="97">
        <v>1</v>
      </c>
      <c r="E42" s="26"/>
      <c r="F42" s="30"/>
      <c r="G42" s="34"/>
      <c r="H42" s="34"/>
      <c r="I42" s="34"/>
      <c r="J42" s="34"/>
      <c r="K42" s="34"/>
      <c r="L42" s="34"/>
      <c r="M42" s="34"/>
      <c r="N42" s="34"/>
      <c r="O42" s="34"/>
      <c r="P42" s="35"/>
      <c r="Q42" s="10">
        <v>4</v>
      </c>
    </row>
    <row r="43" spans="1:18" x14ac:dyDescent="0.25">
      <c r="A43" s="37" t="s">
        <v>165</v>
      </c>
      <c r="B43" s="77" t="s">
        <v>152</v>
      </c>
      <c r="C43" s="38">
        <v>2</v>
      </c>
      <c r="E43" s="23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4"/>
      <c r="Q43" s="10"/>
    </row>
    <row r="44" spans="1:18" ht="15.75" thickBot="1" x14ac:dyDescent="0.3">
      <c r="A44" s="39" t="s">
        <v>126</v>
      </c>
      <c r="B44" s="78" t="s">
        <v>114</v>
      </c>
      <c r="C44" s="40">
        <v>1</v>
      </c>
      <c r="E44" s="23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4"/>
      <c r="Q44" s="10"/>
    </row>
    <row r="45" spans="1:18" ht="15.75" thickBot="1" x14ac:dyDescent="0.3">
      <c r="A45" s="39" t="s">
        <v>127</v>
      </c>
      <c r="B45" s="78" t="s">
        <v>119</v>
      </c>
      <c r="C45" s="40">
        <v>1</v>
      </c>
      <c r="E45" s="26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27"/>
      <c r="Q45" s="10">
        <v>5</v>
      </c>
    </row>
    <row r="46" spans="1:18" ht="15.75" thickBot="1" x14ac:dyDescent="0.3">
      <c r="A46" s="41" t="s">
        <v>128</v>
      </c>
      <c r="B46" s="79" t="s">
        <v>116</v>
      </c>
      <c r="C46" s="42">
        <v>1</v>
      </c>
      <c r="E46" s="11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12"/>
      <c r="Q46" s="10"/>
    </row>
    <row r="47" spans="1:18" ht="15.75" thickBot="1" x14ac:dyDescent="0.3">
      <c r="A47" s="102" t="s">
        <v>153</v>
      </c>
      <c r="B47" s="103" t="s">
        <v>115</v>
      </c>
      <c r="C47" s="104">
        <v>2</v>
      </c>
      <c r="E47" s="13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14"/>
      <c r="Q47" s="76"/>
      <c r="R47" s="25"/>
    </row>
    <row r="48" spans="1:18" x14ac:dyDescent="0.25">
      <c r="D48" s="76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4:18" x14ac:dyDescent="0.25">
      <c r="D49" s="76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</sheetData>
  <mergeCells count="37">
    <mergeCell ref="A3:B3"/>
    <mergeCell ref="E2:E3"/>
    <mergeCell ref="J2:J3"/>
    <mergeCell ref="E18:G18"/>
    <mergeCell ref="G21:J21"/>
    <mergeCell ref="E21:F21"/>
    <mergeCell ref="A1:AC1"/>
    <mergeCell ref="N33:P33"/>
    <mergeCell ref="L36:M36"/>
    <mergeCell ref="O36:P36"/>
    <mergeCell ref="E36:H36"/>
    <mergeCell ref="I36:K36"/>
    <mergeCell ref="R12:U12"/>
    <mergeCell ref="V12:AC12"/>
    <mergeCell ref="R9:AC9"/>
    <mergeCell ref="R2:R3"/>
    <mergeCell ref="X2:X3"/>
    <mergeCell ref="AC2:AC3"/>
    <mergeCell ref="E33:J33"/>
    <mergeCell ref="A31:C31"/>
    <mergeCell ref="P2:P3"/>
    <mergeCell ref="E39:H39"/>
    <mergeCell ref="I39:M39"/>
    <mergeCell ref="L33:M33"/>
    <mergeCell ref="R15:U15"/>
    <mergeCell ref="X6:AC6"/>
    <mergeCell ref="R6:W6"/>
    <mergeCell ref="R18:S18"/>
    <mergeCell ref="T18:U18"/>
    <mergeCell ref="V18:W18"/>
    <mergeCell ref="O21:P21"/>
    <mergeCell ref="E12:P12"/>
    <mergeCell ref="M15:P15"/>
    <mergeCell ref="E15:H15"/>
    <mergeCell ref="E6:P6"/>
    <mergeCell ref="E9:P9"/>
    <mergeCell ref="V15:AB15"/>
  </mergeCells>
  <phoneticPr fontId="3" type="noConversion"/>
  <pageMargins left="0.35433070866141736" right="0.19685039370078741" top="0.59055118110236227" bottom="0.51181102362204722" header="0.31496062992125984" footer="0.31496062992125984"/>
  <pageSetup paperSize="9" scale="120" fitToWidth="0" orientation="landscape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F58"/>
  <sheetViews>
    <sheetView zoomScaleNormal="100" workbookViewId="0">
      <selection activeCell="M17" sqref="M17"/>
    </sheetView>
  </sheetViews>
  <sheetFormatPr baseColWidth="10" defaultRowHeight="15" x14ac:dyDescent="0.25"/>
  <cols>
    <col min="1" max="1" width="13" bestFit="1" customWidth="1"/>
    <col min="2" max="2" width="3.42578125" style="105" customWidth="1"/>
    <col min="3" max="3" width="23.28515625" bestFit="1" customWidth="1"/>
    <col min="4" max="4" width="11.5703125" style="60"/>
    <col min="5" max="5" width="11.5703125" style="72"/>
  </cols>
  <sheetData>
    <row r="1" spans="1:6" ht="15.75" thickBot="1" x14ac:dyDescent="0.3">
      <c r="A1" t="s">
        <v>75</v>
      </c>
      <c r="C1" t="s">
        <v>76</v>
      </c>
      <c r="D1" s="60" t="s">
        <v>159</v>
      </c>
      <c r="E1" s="72" t="s">
        <v>80</v>
      </c>
    </row>
    <row r="2" spans="1:6" x14ac:dyDescent="0.25">
      <c r="A2" s="177" t="s">
        <v>88</v>
      </c>
      <c r="B2" s="192">
        <v>1</v>
      </c>
      <c r="C2" s="67" t="s">
        <v>77</v>
      </c>
      <c r="D2" s="61"/>
      <c r="E2" s="115"/>
    </row>
    <row r="3" spans="1:6" x14ac:dyDescent="0.25">
      <c r="A3" s="178"/>
      <c r="B3" s="193"/>
      <c r="C3" s="68" t="s">
        <v>78</v>
      </c>
      <c r="D3" s="118"/>
      <c r="E3" s="117"/>
    </row>
    <row r="4" spans="1:6" x14ac:dyDescent="0.25">
      <c r="A4" s="178"/>
      <c r="B4" s="193"/>
      <c r="C4" s="114" t="s">
        <v>177</v>
      </c>
      <c r="D4" s="116"/>
      <c r="E4" s="117"/>
    </row>
    <row r="5" spans="1:6" x14ac:dyDescent="0.25">
      <c r="A5" s="178"/>
      <c r="B5" s="193"/>
      <c r="C5" s="114" t="s">
        <v>176</v>
      </c>
      <c r="D5" s="116"/>
      <c r="E5" s="117"/>
    </row>
    <row r="6" spans="1:6" ht="15.75" thickBot="1" x14ac:dyDescent="0.3">
      <c r="A6" s="178"/>
      <c r="B6" s="193"/>
      <c r="C6" s="114" t="s">
        <v>79</v>
      </c>
      <c r="D6" s="116"/>
      <c r="E6" s="117"/>
    </row>
    <row r="7" spans="1:6" x14ac:dyDescent="0.25">
      <c r="A7" s="178"/>
      <c r="B7" s="192">
        <v>2</v>
      </c>
      <c r="C7" s="67" t="s">
        <v>98</v>
      </c>
      <c r="D7" s="113"/>
      <c r="E7" s="115"/>
    </row>
    <row r="8" spans="1:6" x14ac:dyDescent="0.25">
      <c r="A8" s="178"/>
      <c r="B8" s="193"/>
      <c r="C8" s="68" t="s">
        <v>161</v>
      </c>
      <c r="D8" s="116"/>
      <c r="E8" s="117"/>
    </row>
    <row r="9" spans="1:6" x14ac:dyDescent="0.25">
      <c r="A9" s="178"/>
      <c r="B9" s="193"/>
      <c r="C9" s="68" t="s">
        <v>160</v>
      </c>
      <c r="D9" s="116"/>
      <c r="E9" s="117"/>
    </row>
    <row r="10" spans="1:6" ht="15.75" thickBot="1" x14ac:dyDescent="0.3">
      <c r="A10" s="178"/>
      <c r="B10" s="193"/>
      <c r="C10" s="68" t="s">
        <v>79</v>
      </c>
      <c r="D10" s="116"/>
      <c r="E10" s="117"/>
    </row>
    <row r="11" spans="1:6" ht="15.75" thickBot="1" x14ac:dyDescent="0.3">
      <c r="A11" s="178"/>
      <c r="B11" s="106">
        <v>3</v>
      </c>
      <c r="C11" s="67" t="s">
        <v>95</v>
      </c>
      <c r="D11" s="120"/>
      <c r="E11" s="115"/>
    </row>
    <row r="12" spans="1:6" ht="15.75" thickBot="1" x14ac:dyDescent="0.3">
      <c r="A12" s="83"/>
      <c r="B12" s="116">
        <v>4</v>
      </c>
      <c r="C12" s="111" t="s">
        <v>169</v>
      </c>
      <c r="D12" s="120"/>
      <c r="E12" s="115"/>
    </row>
    <row r="13" spans="1:6" x14ac:dyDescent="0.25">
      <c r="A13" s="179" t="s">
        <v>25</v>
      </c>
      <c r="B13" s="187">
        <v>5</v>
      </c>
      <c r="C13" s="127" t="s">
        <v>178</v>
      </c>
      <c r="D13" s="127"/>
      <c r="E13" s="128"/>
    </row>
    <row r="14" spans="1:6" x14ac:dyDescent="0.25">
      <c r="A14" s="180"/>
      <c r="B14" s="188"/>
      <c r="C14" s="129" t="s">
        <v>82</v>
      </c>
      <c r="D14" s="129"/>
      <c r="E14" s="130"/>
      <c r="F14" s="25"/>
    </row>
    <row r="15" spans="1:6" ht="15.75" thickBot="1" x14ac:dyDescent="0.3">
      <c r="A15" s="180"/>
      <c r="B15" s="189"/>
      <c r="C15" s="131" t="s">
        <v>179</v>
      </c>
      <c r="D15" s="131"/>
      <c r="E15" s="132"/>
      <c r="F15" s="25"/>
    </row>
    <row r="16" spans="1:6" ht="15.75" thickBot="1" x14ac:dyDescent="0.3">
      <c r="A16" s="180"/>
      <c r="B16" s="133">
        <v>6</v>
      </c>
      <c r="C16" s="134" t="s">
        <v>96</v>
      </c>
      <c r="D16" s="135"/>
      <c r="E16" s="136"/>
      <c r="F16" s="36"/>
    </row>
    <row r="17" spans="1:6" x14ac:dyDescent="0.25">
      <c r="A17" s="180"/>
      <c r="B17" s="187">
        <v>7</v>
      </c>
      <c r="C17" s="127" t="s">
        <v>178</v>
      </c>
      <c r="D17" s="127"/>
      <c r="E17" s="128"/>
      <c r="F17" s="36"/>
    </row>
    <row r="18" spans="1:6" x14ac:dyDescent="0.25">
      <c r="A18" s="180"/>
      <c r="B18" s="188"/>
      <c r="C18" s="129" t="s">
        <v>83</v>
      </c>
      <c r="D18" s="129"/>
      <c r="E18" s="130"/>
      <c r="F18" s="36"/>
    </row>
    <row r="19" spans="1:6" ht="15.75" thickBot="1" x14ac:dyDescent="0.3">
      <c r="A19" s="180"/>
      <c r="B19" s="189"/>
      <c r="C19" s="131" t="s">
        <v>180</v>
      </c>
      <c r="D19" s="131"/>
      <c r="E19" s="132"/>
      <c r="F19" s="36"/>
    </row>
    <row r="20" spans="1:6" ht="15.75" thickBot="1" x14ac:dyDescent="0.3">
      <c r="A20" s="180"/>
      <c r="B20" s="139">
        <v>8</v>
      </c>
      <c r="C20" s="140" t="s">
        <v>97</v>
      </c>
      <c r="D20" s="127"/>
      <c r="E20" s="128"/>
      <c r="F20" s="36"/>
    </row>
    <row r="21" spans="1:6" x14ac:dyDescent="0.25">
      <c r="A21" s="137"/>
      <c r="B21" s="187">
        <v>9</v>
      </c>
      <c r="C21" s="140" t="s">
        <v>181</v>
      </c>
      <c r="D21" s="127"/>
      <c r="E21" s="128"/>
      <c r="F21" s="36"/>
    </row>
    <row r="22" spans="1:6" x14ac:dyDescent="0.25">
      <c r="A22" s="137"/>
      <c r="B22" s="188"/>
      <c r="C22" s="141"/>
      <c r="D22" s="129"/>
      <c r="E22" s="130"/>
      <c r="F22" s="36"/>
    </row>
    <row r="23" spans="1:6" ht="15.75" thickBot="1" x14ac:dyDescent="0.3">
      <c r="A23" s="137"/>
      <c r="B23" s="189"/>
      <c r="C23" s="138"/>
      <c r="D23" s="131"/>
      <c r="E23" s="132"/>
      <c r="F23" s="36"/>
    </row>
    <row r="24" spans="1:6" ht="15.75" thickBot="1" x14ac:dyDescent="0.3">
      <c r="A24" s="181" t="s">
        <v>24</v>
      </c>
      <c r="B24" s="119"/>
      <c r="C24" s="121" t="s">
        <v>85</v>
      </c>
      <c r="D24" s="122"/>
      <c r="E24" s="109"/>
      <c r="F24" s="25"/>
    </row>
    <row r="25" spans="1:6" ht="15.75" thickBot="1" x14ac:dyDescent="0.3">
      <c r="A25" s="182"/>
      <c r="B25" s="108"/>
      <c r="C25" s="54" t="s">
        <v>86</v>
      </c>
      <c r="D25" s="62"/>
      <c r="E25" s="55"/>
    </row>
    <row r="26" spans="1:6" ht="15.75" thickBot="1" x14ac:dyDescent="0.3">
      <c r="A26" s="182"/>
      <c r="B26" s="108"/>
      <c r="C26" s="54" t="s">
        <v>87</v>
      </c>
      <c r="D26" s="62"/>
      <c r="E26" s="55"/>
    </row>
    <row r="27" spans="1:6" ht="15.75" thickBot="1" x14ac:dyDescent="0.3">
      <c r="A27" s="182"/>
      <c r="B27" s="107"/>
      <c r="C27" s="54" t="s">
        <v>95</v>
      </c>
      <c r="D27" s="62"/>
      <c r="E27" s="55"/>
    </row>
    <row r="28" spans="1:6" ht="15.75" thickBot="1" x14ac:dyDescent="0.3">
      <c r="A28" s="182"/>
      <c r="B28" s="110"/>
      <c r="C28" s="54" t="s">
        <v>89</v>
      </c>
      <c r="D28" s="61"/>
      <c r="E28" s="55"/>
    </row>
    <row r="29" spans="1:6" x14ac:dyDescent="0.25">
      <c r="A29" s="182"/>
      <c r="B29" s="198"/>
      <c r="C29" s="51" t="s">
        <v>84</v>
      </c>
      <c r="D29" s="185"/>
      <c r="E29" s="196"/>
    </row>
    <row r="30" spans="1:6" ht="15.75" thickBot="1" x14ac:dyDescent="0.3">
      <c r="A30" s="182"/>
      <c r="B30" s="199"/>
      <c r="C30" s="52" t="s">
        <v>81</v>
      </c>
      <c r="D30" s="186"/>
      <c r="E30" s="197"/>
    </row>
    <row r="31" spans="1:6" x14ac:dyDescent="0.25">
      <c r="A31" s="178"/>
      <c r="B31" s="190"/>
      <c r="C31" s="51" t="s">
        <v>162</v>
      </c>
      <c r="D31" s="206"/>
      <c r="E31" s="196"/>
    </row>
    <row r="32" spans="1:6" ht="15.75" thickBot="1" x14ac:dyDescent="0.3">
      <c r="A32" s="80"/>
      <c r="B32" s="191"/>
      <c r="C32" s="81" t="s">
        <v>167</v>
      </c>
      <c r="D32" s="207"/>
      <c r="E32" s="208"/>
    </row>
    <row r="33" spans="1:5" x14ac:dyDescent="0.25">
      <c r="A33" s="183" t="s">
        <v>27</v>
      </c>
      <c r="B33" s="204"/>
      <c r="C33" s="25" t="s">
        <v>90</v>
      </c>
      <c r="D33" s="200"/>
      <c r="E33" s="202"/>
    </row>
    <row r="34" spans="1:5" ht="15.75" thickBot="1" x14ac:dyDescent="0.3">
      <c r="A34" s="184"/>
      <c r="B34" s="205"/>
      <c r="C34" s="29" t="s">
        <v>16</v>
      </c>
      <c r="D34" s="201"/>
      <c r="E34" s="203"/>
    </row>
    <row r="35" spans="1:5" ht="15.75" thickBot="1" x14ac:dyDescent="0.3">
      <c r="A35" s="184"/>
      <c r="B35" s="123"/>
      <c r="C35" s="46" t="s">
        <v>91</v>
      </c>
      <c r="D35" s="63"/>
      <c r="E35" s="58"/>
    </row>
    <row r="36" spans="1:5" x14ac:dyDescent="0.25">
      <c r="A36" s="177" t="s">
        <v>28</v>
      </c>
      <c r="B36" s="190"/>
      <c r="C36" s="51" t="s">
        <v>81</v>
      </c>
      <c r="D36" s="185"/>
      <c r="E36" s="196"/>
    </row>
    <row r="37" spans="1:5" ht="15.75" thickBot="1" x14ac:dyDescent="0.3">
      <c r="A37" s="178"/>
      <c r="B37" s="191"/>
      <c r="C37" s="53" t="s">
        <v>92</v>
      </c>
      <c r="D37" s="195"/>
      <c r="E37" s="197"/>
    </row>
    <row r="38" spans="1:5" ht="15.75" thickBot="1" x14ac:dyDescent="0.3">
      <c r="A38" s="182"/>
      <c r="B38" s="124"/>
      <c r="C38" s="56" t="s">
        <v>93</v>
      </c>
      <c r="D38" s="48"/>
      <c r="E38" s="55"/>
    </row>
    <row r="39" spans="1:5" ht="15.75" thickBot="1" x14ac:dyDescent="0.3">
      <c r="A39" s="182"/>
      <c r="B39" s="108"/>
      <c r="C39" s="56" t="s">
        <v>94</v>
      </c>
      <c r="D39" s="64"/>
      <c r="E39" s="55"/>
    </row>
    <row r="40" spans="1:5" ht="15.75" thickBot="1" x14ac:dyDescent="0.3">
      <c r="A40" s="194"/>
      <c r="B40" s="124"/>
      <c r="C40" s="52" t="s">
        <v>79</v>
      </c>
      <c r="D40" s="48"/>
      <c r="E40" s="59"/>
    </row>
    <row r="41" spans="1:5" x14ac:dyDescent="0.25">
      <c r="A41" s="23" t="s">
        <v>26</v>
      </c>
      <c r="B41" s="125"/>
      <c r="C41" s="25" t="s">
        <v>98</v>
      </c>
      <c r="D41" s="65"/>
      <c r="E41" s="73"/>
    </row>
    <row r="42" spans="1:5" x14ac:dyDescent="0.25">
      <c r="A42" s="23"/>
      <c r="B42" s="125"/>
      <c r="C42" s="25"/>
      <c r="D42" s="65"/>
      <c r="E42" s="73"/>
    </row>
    <row r="43" spans="1:5" ht="15.75" thickBot="1" x14ac:dyDescent="0.3">
      <c r="A43" s="23"/>
      <c r="B43" s="125"/>
      <c r="C43" s="25"/>
      <c r="D43" s="65"/>
      <c r="E43" s="73"/>
    </row>
    <row r="44" spans="1:5" ht="15.75" thickBot="1" x14ac:dyDescent="0.3">
      <c r="A44" s="67" t="s">
        <v>29</v>
      </c>
      <c r="B44" s="49"/>
      <c r="C44" s="56" t="s">
        <v>81</v>
      </c>
      <c r="D44" s="50"/>
      <c r="E44" s="74"/>
    </row>
    <row r="45" spans="1:5" ht="15.75" thickBot="1" x14ac:dyDescent="0.3">
      <c r="A45" s="68"/>
      <c r="B45" s="112"/>
      <c r="C45" s="53" t="s">
        <v>79</v>
      </c>
      <c r="D45" s="47"/>
      <c r="E45" s="57"/>
    </row>
    <row r="46" spans="1:5" ht="15.75" thickBot="1" x14ac:dyDescent="0.3">
      <c r="A46" s="69"/>
      <c r="B46" s="49"/>
      <c r="C46" s="56" t="s">
        <v>110</v>
      </c>
      <c r="D46" s="50"/>
      <c r="E46" s="74"/>
    </row>
    <row r="47" spans="1:5" ht="15.75" thickBot="1" x14ac:dyDescent="0.3">
      <c r="A47" s="13" t="s">
        <v>31</v>
      </c>
      <c r="B47" s="126"/>
      <c r="C47" s="29" t="s">
        <v>99</v>
      </c>
      <c r="D47" s="66"/>
      <c r="E47" s="75"/>
    </row>
    <row r="49" spans="4:5" x14ac:dyDescent="0.25">
      <c r="D49"/>
      <c r="E49"/>
    </row>
    <row r="50" spans="4:5" x14ac:dyDescent="0.25">
      <c r="D50"/>
      <c r="E50"/>
    </row>
    <row r="51" spans="4:5" x14ac:dyDescent="0.25">
      <c r="D51"/>
      <c r="E51"/>
    </row>
    <row r="52" spans="4:5" x14ac:dyDescent="0.25">
      <c r="D52"/>
      <c r="E52"/>
    </row>
    <row r="53" spans="4:5" x14ac:dyDescent="0.25">
      <c r="D53"/>
      <c r="E53"/>
    </row>
    <row r="54" spans="4:5" x14ac:dyDescent="0.25">
      <c r="D54"/>
      <c r="E54"/>
    </row>
    <row r="55" spans="4:5" x14ac:dyDescent="0.25">
      <c r="D55"/>
      <c r="E55"/>
    </row>
    <row r="56" spans="4:5" x14ac:dyDescent="0.25">
      <c r="D56"/>
      <c r="E56"/>
    </row>
    <row r="57" spans="4:5" x14ac:dyDescent="0.25">
      <c r="D57"/>
      <c r="E57"/>
    </row>
    <row r="58" spans="4:5" x14ac:dyDescent="0.25">
      <c r="D58"/>
      <c r="E58"/>
    </row>
  </sheetData>
  <mergeCells count="22">
    <mergeCell ref="A36:A40"/>
    <mergeCell ref="B36:B37"/>
    <mergeCell ref="D36:D37"/>
    <mergeCell ref="E36:E37"/>
    <mergeCell ref="B29:B30"/>
    <mergeCell ref="D33:D34"/>
    <mergeCell ref="E33:E34"/>
    <mergeCell ref="B33:B34"/>
    <mergeCell ref="E29:E30"/>
    <mergeCell ref="D31:D32"/>
    <mergeCell ref="E31:E32"/>
    <mergeCell ref="A2:A11"/>
    <mergeCell ref="A13:A20"/>
    <mergeCell ref="A24:A31"/>
    <mergeCell ref="A33:A35"/>
    <mergeCell ref="D29:D30"/>
    <mergeCell ref="B17:B19"/>
    <mergeCell ref="B31:B32"/>
    <mergeCell ref="B2:B6"/>
    <mergeCell ref="B7:B10"/>
    <mergeCell ref="B13:B15"/>
    <mergeCell ref="B21:B2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Brandl, Thomas02 (uic96446)</cp:lastModifiedBy>
  <cp:lastPrinted>2020-12-25T09:45:12Z</cp:lastPrinted>
  <dcterms:created xsi:type="dcterms:W3CDTF">2020-11-22T19:29:23Z</dcterms:created>
  <dcterms:modified xsi:type="dcterms:W3CDTF">2021-01-11T06:55:43Z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